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ersonnes" sheetId="1" r:id="rId1"/>
  </sheets>
  <calcPr calcId="124519" fullCalcOnLoad="1"/>
</workbook>
</file>

<file path=xl/sharedStrings.xml><?xml version="1.0" encoding="utf-8"?>
<sst xmlns="http://schemas.openxmlformats.org/spreadsheetml/2006/main" count="389" uniqueCount="264">
  <si>
    <t>Nom</t>
  </si>
  <si>
    <t>Prénom</t>
  </si>
  <si>
    <t>Identifiant</t>
  </si>
  <si>
    <t>Variantes</t>
  </si>
  <si>
    <t>Description</t>
  </si>
  <si>
    <t>Archives de correspondance</t>
  </si>
  <si>
    <t>Documents officiels</t>
  </si>
  <si>
    <t>Presse</t>
  </si>
  <si>
    <t>Nationalité</t>
  </si>
  <si>
    <t>Genre</t>
  </si>
  <si>
    <t>Catégorie</t>
  </si>
  <si>
    <t>Privat</t>
  </si>
  <si>
    <t>Murray</t>
  </si>
  <si>
    <t>Inazō</t>
  </si>
  <si>
    <t>Reynald</t>
  </si>
  <si>
    <t>Zamenhof</t>
  </si>
  <si>
    <t>Vanderbilt Morris</t>
  </si>
  <si>
    <t>Coombe Tennant</t>
  </si>
  <si>
    <t>Forchhämer</t>
  </si>
  <si>
    <t>Bonnevie</t>
  </si>
  <si>
    <t>Auerbach</t>
  </si>
  <si>
    <t>Drummond</t>
  </si>
  <si>
    <t>Cecil</t>
  </si>
  <si>
    <t>Sebert</t>
  </si>
  <si>
    <t>de Beaufront</t>
  </si>
  <si>
    <t>Jespersen</t>
  </si>
  <si>
    <t>Peano</t>
  </si>
  <si>
    <t>Fielding</t>
  </si>
  <si>
    <t>Baudet</t>
  </si>
  <si>
    <t>Weferling</t>
  </si>
  <si>
    <t>Avramovitch</t>
  </si>
  <si>
    <t>Gardner Cottrell</t>
  </si>
  <si>
    <t>Donnan</t>
  </si>
  <si>
    <t>Jones E.</t>
  </si>
  <si>
    <t>Shenton N.</t>
  </si>
  <si>
    <t>Wilson</t>
  </si>
  <si>
    <t>Beecher Wilson</t>
  </si>
  <si>
    <t>de Reynold</t>
  </si>
  <si>
    <t>Bergson</t>
  </si>
  <si>
    <t>Earl B. Babcock</t>
  </si>
  <si>
    <t>Couturat</t>
  </si>
  <si>
    <t>Richler</t>
  </si>
  <si>
    <t>De Brouckere</t>
  </si>
  <si>
    <t>Todoroff</t>
  </si>
  <si>
    <t>Barton</t>
  </si>
  <si>
    <t>Driesler</t>
  </si>
  <si>
    <t>Ravizza</t>
  </si>
  <si>
    <t>Vacardesco</t>
  </si>
  <si>
    <t>Stratton</t>
  </si>
  <si>
    <t>De Rio Branco</t>
  </si>
  <si>
    <t>Schneeberger</t>
  </si>
  <si>
    <t>Edmond Théophil</t>
  </si>
  <si>
    <t>Gilbert</t>
  </si>
  <si>
    <t>Nitobe</t>
  </si>
  <si>
    <t>Georges</t>
  </si>
  <si>
    <t>Louis-Lazare</t>
  </si>
  <si>
    <t>Alice</t>
  </si>
  <si>
    <t>Winifred</t>
  </si>
  <si>
    <t>?</t>
  </si>
  <si>
    <t>Siegfried</t>
  </si>
  <si>
    <t>Eric</t>
  </si>
  <si>
    <t>Robert</t>
  </si>
  <si>
    <t>Hippolyte</t>
  </si>
  <si>
    <t>Louis</t>
  </si>
  <si>
    <t>Otto</t>
  </si>
  <si>
    <t>Guiseppe</t>
  </si>
  <si>
    <t>H.</t>
  </si>
  <si>
    <t>André</t>
  </si>
  <si>
    <t>Erich</t>
  </si>
  <si>
    <t>Frederick</t>
  </si>
  <si>
    <t>Frederik G.</t>
  </si>
  <si>
    <t>Marguerite</t>
  </si>
  <si>
    <t>Herbert</t>
  </si>
  <si>
    <t>Florence</t>
  </si>
  <si>
    <t>Edmund</t>
  </si>
  <si>
    <t>Gonzague</t>
  </si>
  <si>
    <t>Henri</t>
  </si>
  <si>
    <t>Dean</t>
  </si>
  <si>
    <t>Claire</t>
  </si>
  <si>
    <t xml:space="preserve">Kent A. </t>
  </si>
  <si>
    <t xml:space="preserve">? </t>
  </si>
  <si>
    <t>Samuel Wesley</t>
  </si>
  <si>
    <t>Friedrich</t>
  </si>
  <si>
    <t>Edmond Privat (Q12571)</t>
  </si>
  <si>
    <t>Gilbert Murray (Q538478)</t>
  </si>
  <si>
    <t>Nitobe Inazō (Q12696)</t>
  </si>
  <si>
    <t>Georges Reynald (Q3103403)</t>
  </si>
  <si>
    <t>L. L. Zamenhof (Q11758)</t>
  </si>
  <si>
    <t>Alice Vanderbilt Morris (Q3504793)</t>
  </si>
  <si>
    <t>Winifred Coombe Tennant (Q8025380)</t>
  </si>
  <si>
    <t>Willo Forchhammer (?)</t>
  </si>
  <si>
    <t>Mlle Bonnevie (?)</t>
  </si>
  <si>
    <t>Siegfried Auerbach (Q111378922)</t>
  </si>
  <si>
    <t>Eric Drummond (Q335120)</t>
  </si>
  <si>
    <t>Robert Cecil (Q12702)</t>
  </si>
  <si>
    <t>Hippolyte Sebert (Q287244)</t>
  </si>
  <si>
    <t>Louis de Beaufront (Q18413)</t>
  </si>
  <si>
    <t>Otto Jespersen (Q23870)</t>
  </si>
  <si>
    <t>Giuseppe Peano (Q191029)</t>
  </si>
  <si>
    <t>H. Fielding (?)</t>
  </si>
  <si>
    <t>André Baudet (Q20481501)</t>
  </si>
  <si>
    <t>Erich Weferling (Q106417)</t>
  </si>
  <si>
    <t>Avramovitch (?)</t>
  </si>
  <si>
    <t>Frederick Gardner Cottrell (Q908538)</t>
  </si>
  <si>
    <t>Frederick G. Donnan (Q571640)</t>
  </si>
  <si>
    <t>Marguerite E. Jones (?)</t>
  </si>
  <si>
    <t>Herbert N. Shenton (Q5735140)</t>
  </si>
  <si>
    <t>Florence Wilson ?)</t>
  </si>
  <si>
    <t>Edmund Beecher Wilson (Q1285960)</t>
  </si>
  <si>
    <t>Gonzague de Reynold (Q116750)</t>
  </si>
  <si>
    <t>Henri Bergson (Q42156)</t>
  </si>
  <si>
    <t>Dean Earl B. Babcock (?)</t>
  </si>
  <si>
    <t>Louis Couturat (Q20724)</t>
  </si>
  <si>
    <t>Claire Richler (?)</t>
  </si>
  <si>
    <t>De Brouckere (?)</t>
  </si>
  <si>
    <t>Todoroff (?)</t>
  </si>
  <si>
    <t>A. Barton Kent (Q24547769)</t>
  </si>
  <si>
    <t>Driesler (?)</t>
  </si>
  <si>
    <t>Ravizza (?)</t>
  </si>
  <si>
    <t>Vacardesco (?)</t>
  </si>
  <si>
    <t>Samuel Wesley Stratton (Q7412913)</t>
  </si>
  <si>
    <t>De Rio Branco (?)</t>
  </si>
  <si>
    <t>Friedrich Schneeberger (Q12348038)</t>
  </si>
  <si>
    <t>D-ro EDMOND PRIVAT, DR. PRIVAT, Dr Edmond PRIVAT, Dr Privat, Dr. Edmond Privat, Dr. PRIVAT, Dr. Privat, Dr.Privat, Dro EDMOND PRIVAT, Dro Edmond Privat, Dro. Privat, Edmond Privat, I. Privat, M. Edmond Privat, M. PRIVAT, M. Privat, M. le Professeur Privat, M.PRIVAT, M.Privat, Monsieur le Dr Privat, Mr. Privat, Mr.PRIVAT, Privat, Sro Privat, dro. Privat</t>
  </si>
  <si>
    <t>L. Murray, M. MURRAY, M. Murray, PROFRSSOR MURRAY, Prof. Gilbert Murray, Prof. Murray, Professeur G. Murray, Professor Gilbert Murray, Professor MURRAY, Professor Murray, professeur G. Murray, professeur Gilbert Murray, professeur Murray, Gilbert Murray, G. G. Murray, George Gilbert Aime Murray, George Gilbert Murray, Gilbert Aimé Murray, Sir Gilbert Murray</t>
  </si>
  <si>
    <t>DR. NITOBE, Docteur Nitobe, Dr Nitobe, Dr. I. Nitobe, Dr. Inazo Nitobe, Dr. NITOBE, Dr. Nitobe, Dr.NITOBE, Eminenta Sinjoro Dr.Nitobe, J. Nitobe, M. NITOBE, M. le Dr Inazo Nitobe, M.NITOBE, Monsieur le Dr. I. NITOBE, Monsieur le Dr. NITOBE, Sioro Inazo Nitobe, V.S. Nitobe, o Inazo Nitobe, Herrn Dr. Jnazo Nitobé, , Inazō Nitobe, Nitobe Inazo, Nitobe Inazou, Nitobe Inazō, Inazo Nitobe, Inazo Nitobé, Nitobe</t>
  </si>
  <si>
    <t>G. REYNALD, M. REYNALD, M. Reynald, M. le Sénateur G. Reynald, M. le Sénateur J. Reynaud, M. le Sénateur J. Roynald, M.REYNALD, M.Reynald, SENIOR G. REYNALD, Senator G. Reynald, Senator J. Reynald, Georges Reynald</t>
  </si>
  <si>
    <t>Docteur Zamenhof, Dr Zamenhof, Dr. L. L. Zamenhof, Dr. Zamenhof, Dr.Zamenhof, L. Zamenhof, Louis Lazarus Zamenhof, Zamenhof, docteur Zamenhof, Docteur Espéranto, L L Zamenhof, L. L. Zamenhof, Louis-Lazare Zamenhof, Ludwik Lejzer Zamenhof, Doctor Esperanto, Doktoro Esperanto, Dottor Esperanto, Dr. Esperanto, Eliezer Levi Samenhof, L. M. Zamenhof, LL Zamenhof, Lazar Lyudvik Zamenhof, Lazar Markovich Zamenhof, Lazaro Ludoviko Zamenhof, Leyzer Zamenhov, Louis Lazare Zamenhof, Ludovico Lazzaro Zamenhof, Ludoviko Lazaro Zamenhofo, Ludwig Lazarus Zamenhof, Ludwig Zamenhof, Ludwik Zamenhof, Ludwig Lazarus Samenhof, Ludwig Samenhof, Ludwik Lazerus Zamenhof, Samenhof</t>
  </si>
  <si>
    <t>Alice V. Morris, Alma V. Morris, DAVE H. MORRIS, Mr. and Mrs. Morris, Mrs. Dave H. Morris, Mrs. Dave Hennen Morris, Mrs. Morris, Mrs.Dave H.Morris, Alice Vanderbilt Morris, Alice Vanderbilt Shepard, Alice Vanderbilt Shepard Morris</t>
  </si>
  <si>
    <t>COOMBE-TENNANT, MRS. COOMBE-TENNANT, MRS.COOLBE-TENNANT, Mrs COOMBE-TENNANT, Mrs. COOMBE-TENNANT, Mrs. Coombe-Tennant, Mrs.COOMBE-TENNANT, Mrs.Coombe-Tennant, rs. Coombe-Tennant, Winifred Coombe Tennant</t>
  </si>
  <si>
    <t>Mlle FORCHHAMMER, Mlle Forchhammer, Mlle. FORCHHAMMER, Mlle. Forchhammer, Mlle.Forchhammer, Willo. Forchhammer, FORCHHÄMER, ? Forchhämer</t>
  </si>
  <si>
    <t>M. Bonnevie, MLLE BONNEVIE, MLLE. BONNEVIE, MME. BONNEVIE, Melle Bonnevie, Mlle BONNEVIE, Mlle Bonnevie, Mlle. BONNEVIE, Mlle. Bonnevie, Mlle.Bonnevie, ? Bonnevie</t>
  </si>
  <si>
    <t>Auerbach, DR. S. SEGfried AUERBACH, Dr. Auerbach, Dr. S. AUERBACH, Dr. S. Auerbach, Dro. S. AUERBACH, S. AUERBACH, S. Auerbach, Siegfried Auerbach, Siegfried M. Auerbach</t>
  </si>
  <si>
    <t>Sir Eric DRUMMOND, Sir Eric Drummond, 16th Earl of Perth, Eric Drummond, 7. Earl of Perth, James Eric Drummond</t>
  </si>
  <si>
    <t>LORD ROBERT CECIL, Lord Robert Cecil, Robert Cecil, lord Robert Cecil, Edgar Algernon Robert Cecil, Edgar Algernon Robert Gascoyne Viscount Cecil of Chelwood, Edgar Algernon Robert Gascoyne-Cecil, 1st Viscount Cecil of Chelwood, 1. Viscount Cecil of Chelwood</t>
  </si>
  <si>
    <t>Gen. Sebert, General Sebert, Generalo Sebert, H. SEBERT, H. Sebert, M. le Général Sebert, Monsieur le Général SEBERT, Monsieur le Général Sebert, général Sebert, Hippolyte Sebert, Sebert</t>
  </si>
  <si>
    <t>Beaufront, De Beaufront, I. de Beaufront, L.de Beaufront, M. Beaufront, Marquis de Beaufront, de Beaufront, Louis de Beaufront, Louis Chevreux</t>
  </si>
  <si>
    <t>Jespersen, Otto Jespersen, PROF. OTTO JESPERSEN, Pro-
fessor Jespersen, Professor Jespersen, Professor Otto Jespersen, Jens Otto Harry Jespersen, Otto Espersen</t>
  </si>
  <si>
    <t>Dr. Giuseppe Peano, G. Peano, Peano, Professor G. Peano, Professor Peano, professeur Peano, Giuseppe Peano</t>
  </si>
  <si>
    <t>H. Fielding, M. FIELDING, M. Fielding, Mr. Fielding, Mr.Fielding</t>
  </si>
  <si>
    <t>André Baudet, M. André Baudet</t>
  </si>
  <si>
    <t>E. Weferling, ERICH WEFERLING, Erich Weferling, Herrn E. Weferling, Herrn Erich Weferling, Weferling</t>
  </si>
  <si>
    <t>M. AVRAMOVITCH, M. AVRIMOVITCH, M.AVRAMOVITCH, M.AVRIMOVITCH, ? Avramovitch</t>
  </si>
  <si>
    <t>Dr. Cottrell, Dr. F. G. Cottrell, F. G. COTTRELL, F. G. Cottrell, FREDERICK G. COTTRELL, FREDERICK G. GOTTRELL, Frederick Cottrell, Frederick G. Cottrell, Frederick Gardner Cottrell</t>
  </si>
  <si>
    <t>F. G. DONNAN, G. Donnan, Professor F. G. Donnan, Frederick George Donnan, Frederik George Donnan, Frederick Donnan, Frederick G. Donnan</t>
  </si>
  <si>
    <t>Assistant Professor Marguerite E. Jones, MISS MARGUERITE E. JONES, Margaret L. Jones, Marguerite E.Jones, Miss Jones, Miss Marguerite Jones, Professor T. Gwynn Jones, Marguerite Jones E.</t>
  </si>
  <si>
    <t>Dr Shenton, HERBERT N. SHENTON, Herbert M. Shenton, Herbert N. Shenton, Herbert Newhard Shenton</t>
  </si>
  <si>
    <t>Miss Wilson, Florence Wilson</t>
  </si>
  <si>
    <t>E. B. Wilson, J. V. Wilson, J.V. Wilson, MISS WILSON, Mr. Wilson, S.V. Wilson, E. Wilson, Edmund B. Wilson, Edmund Beecher Wilson</t>
  </si>
  <si>
    <t>M. REYNOLDS, M. Reynolds, M. de Reynolds, Prof. de Reynolds, Senator G. Reynolds, Senator J. Reynolds, Sénateur G. Reynolds, professeur Reynolds, Gonzague de Reynold</t>
  </si>
  <si>
    <t>Henri Bergson, M. BERGSON, M. Bergson, M. le Professeur Bergson, Monsieur Bergson, Bergson, Berxon, H. Bergson, Henri Louis Bergson, Henri-Louis Bergson, Henry Bergson</t>
  </si>
  <si>
    <t>BARLE B. BABCOCK, Dean Babcock, Dean Earl B.Babcock, EARLE B. BABCOCK, EARLE E. BABCOCK, Earl B. Babcock, Dean Earl B. Babcock</t>
  </si>
  <si>
    <t>Couturat, L.Couturat, Professor Couturat, Louis Couturat</t>
  </si>
  <si>
    <t>Dr. Claire Richler, Dr. Claire Richter, Claire Richler</t>
  </si>
  <si>
    <t>M. DE BROUCKERE, M. de BROCKERE, M. de BROUCKERE, M.DE BROUCKERE, ? De Brouckere</t>
  </si>
  <si>
    <t>M. TODOROFF, M. Todoroff, M.TODOROFF, M.Todoroff, ? Todoroff</t>
  </si>
  <si>
    <t>BARTON KENT, Mr. A. BARTON KENT, Mr. A. Barton Kent, Mr. Barton Kent, Mr. Kent, R. G. Kent, Arthur Barton Kent, A. Barton Kent</t>
  </si>
  <si>
    <t>Driesler, Herr Driesler, Mittelschulrektors
Driesler, ? Driesler</t>
  </si>
  <si>
    <t>M. Ravizza, M. le Professeur Ravizza, professeur Ravizza, ? Ravizza</t>
  </si>
  <si>
    <t>Melle VACARESCO, Melle. VACARDESCO, Mlle VACARESCO, Mlle. VACARESCO, ?  Vacardesco</t>
  </si>
  <si>
    <t>S. W. STRATTON, S. W. Stratton, SAMUEL W. STRATTON, Stratton, Samuel Wesley Stratton, Samuel Stratton, Samuel W. Stratton</t>
  </si>
  <si>
    <t>M. DE RIO BRNCO, M. de RIO BRANCO, M. de Rio Branco, ?  De Rio Branco</t>
  </si>
  <si>
    <t>Fr. Schneeberger, M. Schneeberger, sro. pastoro Schneeberger, Friedrich Schneeberger</t>
  </si>
  <si>
    <t>Avocat de l'Esperanto à la SdN; Francophone Swiss Esperantist, historian, university professor, author, journalist and peace activist (1889-1962)</t>
  </si>
  <si>
    <t>Philologue classique britannique</t>
  </si>
  <si>
    <t>Sous-Secrétaire Général de la Société des Nations, Directeur de la Section des Bureaux Internationaux; économiste, agronome et homme politique japonais (1862 - 1933)</t>
  </si>
  <si>
    <t>Polish-Jewish physician and inventor of Esperanto (1859-1917)</t>
  </si>
  <si>
    <t>Treasurer Board of directors, philanthrope américaine, fondatrice de l'International Auxiliary Language Association</t>
  </si>
  <si>
    <t>Laboratoire zoologique de l'Université de Christiania (Danemark?)</t>
  </si>
  <si>
    <t>President, Deutscher Ido-Bund</t>
  </si>
  <si>
    <t>Scottish diplomat, Secretary General of the League of Nations (1876-1951)</t>
  </si>
  <si>
    <t>South Africa, homme politique, diplomate et avocat britannique lauréat du prix Nobel de la paix en 1937</t>
  </si>
  <si>
    <t>Membre de l'Académie des Sciences, général, botaniste et espérantiste français</t>
  </si>
  <si>
    <t>The originator of Ido and leader of that movement, premier espérantiste français, créateur de l’ido</t>
  </si>
  <si>
    <t>The britisch esperanto Association, linguiste danois</t>
  </si>
  <si>
    <t>Mathématicien et logicien italien, professor of Mathematics in the University of Turin. In 1908 he became Director of the International Language Academy</t>
  </si>
  <si>
    <t>Présidence de la 5ème commission de la 3ème assemblée</t>
  </si>
  <si>
    <t>M. André Baudet, Délégué de la Chambre de Commerce et de la Foire de Paris, Président du Conseil d'Administration de l'Ecole commerciale de la Rive gauche de Paris.</t>
  </si>
  <si>
    <t>UNESAL INTERLINGU, Kompromis Esperanto-Ido-Occidental), Deutscher Ido-Radio-Klub; german linguist 1889-1981</t>
  </si>
  <si>
    <t>Internation Auxiliary Language Association IALA in the US, Board of Directors</t>
  </si>
  <si>
    <t>C.B.E. D.Sc. F.R.S. M.R.I., Professor of Chemistry, University of London, irisch scientist</t>
  </si>
  <si>
    <t>Manuel Esperanto</t>
  </si>
  <si>
    <t>Internation Auxiliary Language Association IALA in the US, Secretary Board of directors</t>
  </si>
  <si>
    <t>Librarian, League of Nations</t>
  </si>
  <si>
    <t>Harvard University</t>
  </si>
  <si>
    <t>Président de la Commission de Coopération intellectuelle, French philosopher (1859–1941)</t>
  </si>
  <si>
    <t>Internation Auxiliary Language Association IALA in the US, President Board of directors</t>
  </si>
  <si>
    <t>Delegation for the Adoption of an Auxiliary Language</t>
  </si>
  <si>
    <t>Bafido ? Espido ? Dr. Claire Richter's Sprachkurse</t>
  </si>
  <si>
    <t>directors of the International Chamber of Commerce, London Chamber of Commerce</t>
  </si>
  <si>
    <t>Mittelschulrektors, Head Master of the Boys' Intermediate School, Breslau</t>
  </si>
  <si>
    <t>Délégué de la Chambre de Commerce de Milan, Directeur de son enseignement commercial</t>
  </si>
  <si>
    <t>INTERNATIONAL AUXILIARY LANGUAGE ASSOCIATION (IALA)
IN THE UNITED STATES, (chairman), director, United States Bureau of Standards, Committee¹ on an International Auxiliary Language Accepted by the Council at Toronto, December 29, 1921</t>
  </si>
  <si>
    <t>Président association for the creation of a universal language bureau</t>
  </si>
  <si>
    <t>R1048-13C-26594-23516_doc14;R1048-13C-26594-23516_doc15;R1048-13C-29067-23516_doc03;R1048-13C-29067-23516_doc06;R1048-13C-29067-23516_doc08;R1048-13C-29067-23516_doc09;R1048-13C-29067-23516_doc10;R1048-13C-29067-23516_doc11;R1048-13C-29067-23516_doc12;R1048-13C-29067-23516_doc13;R1048-13C-29067-23516_doc14;R1048-13C-29067-23516_doc16;R1048-13C-29067-23516_doc17;R1048-13C-29067-23516_doc25;R1048-13C-29067-23516_doc26;R1048-13C-29067-23516_doc32;R1048-13C-29067-23516_doc36;R1048-13C-29067-23516_doc37;R1048-13C-29067-23516_doc44;R1048-13C-29067-23516_doc46;R1048-13C-29067-23516_doc48;R1048-13C-29067-23516_doc49;R1048-13C-29067-23516_doc50;R1048-13C-36782-23516_doc09;R1048-13C-36782-23516_doc11;R1049-13C-40445-23516_doc08;R1049-13C-40445-23516_doc10;R1049-13C-40445-23516_doc14;R1049-13C-40447-23516_doc03;R1049-13C-40497-23516_doc05;R1049-13C-40497-23516_doc07;R1049-13C-40716-23516_doc02;R1049-13C-40716-23516_doc04;R1049-13C-40716-23516_doc05;R1049-13C-40716-23516_doc06;R1049-13C-44291-23516_doc10;R1049-13C-44723-23516_doc12;R1049-13C-44723-23516_doc14;R1049-13C-44723-23516_doc16;R1049-13C-51702-23516_doc07;R1049-13C-53699-23516_doc02</t>
  </si>
  <si>
    <t>R1048-13C-23516-23516_doc03;R1048-13C-23516-23516_doc11;R1048-13C-23516-23516_doc12;R1048-13C-23516-23516_doc13;R1048-13C-23516-23516_doc14;R1048-13C-23516-23516_doc15;R1048-13C-23516-23516_doc17;R1048-13C-29067-23516_doc03;R1048-13C-29067-23516_doc04;R1048-13C-29067-23516_doc05;R1048-13C-29067-23516_doc06;R1048-13C-29067-23516_doc07;R1048-13C-29067-23516_doc17;R1048-13C-29067-23516_doc18;R1048-13C-29067-23516_doc20;R1048-13C-29067-23516_doc25;R1048-13C-29067-23516_doc26;R1048-13C-29067-23516_doc27;R1048-13C-29067-23516_doc29;R1048-13C-29067-23516_doc32;R1048-13C-29067-23516_doc34;R1048-13C-29067-23516_doc36;R1048-13C-29067-23516_doc37;R1048-13C-29067-23516_doc42;R1048-13C-29067-23516_doc43;R1048-13C-29067-23516_doc44;R1048-13C-29067-23516_doc45;R1048-13C-29067-23516_doc46;R1048-13C-29067-23516_doc47;R1048-13C-29067-23516_doc50;R1048-13C-29067-23516_doc51</t>
  </si>
  <si>
    <t>R1048-13C-25688-23516_doc11;R1048-13C-25688-23516_doc12;R1048-13C-25754-23516_doc57;R1048-13C-25754-23516_doc58;R1048-13C-26594-23516_doc03;R1048-13C-26594-23516_doc05;R1048-13C-26594-23516_doc09;R1048-13C-27886-23516_doc39;R1048-13C-29067-23516_doc12;R1048-13C-29067-23516_doc37;R1048-13C-29067-23516_doc49;R1049-13C-38006-23516_doc04;R1049-13C-38006-23516_doc23;R1049-13C-38006-23516_doc24;R1049-13C-38006-23516_doc25;R1049-13C-40445-23516_doc15;R1049-13C-40447-23516_doc03;R1049-13C-40716-23516_doc02;R1049-13C-40716-23516_doc04;R1049-13C-40716-23516_doc06;R1049-13C-41871-23516_doc02;R1049-13C-44291-23516_doc04;R1049-13C-44291-23516_doc11;R1049-13C-44723-23516_doc21;R1049-13C-54922-23516_doc06;R1050-13C-25400-24733_doc04;R1050-13C-29566-24733_doc09</t>
  </si>
  <si>
    <t>R1048-13C-23516-23516_doc10;R1048-13C-23516-23516_doc11;R1048-13C-23516-23516_doc12;R1048-13C-23516-23516_doc17;R1048-13C-29067-23516_doc02;R1048-13C-29067-23516_doc03;R1048-13C-29067-23516_doc12;R1048-13C-29067-23516_doc14;R1048-13C-29067-23516_doc15;R1048-13C-29067-23516_doc16;R1048-13C-29067-23516_doc17;R1048-13C-29067-23516_doc18;R1048-13C-29067-23516_doc25;R1048-13C-29067-23516_doc26;R1048-13C-29067-23516_doc27;R1048-13C-29067-23516_doc32;R1048-13C-29067-23516_doc35;R1048-13C-29067-23516_doc37;R1048-13C-29067-23516_doc41;R1048-13C-29067-23516_doc42;R1048-13C-29067-23516_doc44;R1048-13C-29067-23516_doc45;R1048-13C-29067-23516_doc46;R1048-13C-29067-23516_doc49;R1048-13C-29067-23516_doc50</t>
  </si>
  <si>
    <t>R1048-13C-26594-23516_doc11;R1048-13C-27886-23516_doc03;R1048-13C-27886-23516_doc04;R1048-13C-27886-23516_doc19;R1048-13C-29067-23516_doc03;R1048-13C-29067-23516_doc25;R1048-13C-29067-23516_doc32;R1048-13C-29067-23516_doc42;R1048-13C-29693-23516_doc06;R1048-13C-29693-23516_doc08;R1048-13C-29693-23516_doc11;R1048-13C-29841-23516_doc06;R1048-13C-36782-23516_doc08;R1049-13C-38006-23516_doc04;R1049-13C-38006-23516_doc30;R1049-13C-38006-23516_doc34;R1049-13C-38006-23516_doc35;R1049-13C-38006-23516_doc36;R1049-13C-44723-23516_doc14;R1049-13C-54922-23516_doc05;R1049-13C-59763-23516_doc09</t>
  </si>
  <si>
    <t>R1049-13C-44723-23516_doc02;R1049-13C-44723-23516_doc03;R1049-13C-44723-23516_doc04;R1049-13C-44723-23516_doc05;R1049-13C-44723-23516_doc06;R1049-13C-44723-23516_doc07;R1049-13C-44723-23516_doc11;R1049-13C-44723-23516_doc12;R1049-13C-44723-23516_doc13;R1049-13C-44723-23516_doc15;R1049-13C-44723-23516_doc16;R1049-13C-44723-23516_doc18;R1049-13C-44723-23516_doc19;R1049-13C-44723-23516_doc20;R1049-13C-44723-23516_doc21;R1049-13C-44723-23516_doc22</t>
  </si>
  <si>
    <t>R1048-13C-29067-23516_doc03;R1048-13C-29067-23516_doc07;R1048-13C-29067-23516_doc08;R1048-13C-29067-23516_doc12;R1048-13C-29067-23516_doc25;R1048-13C-29067-23516_doc26;R1048-13C-29067-23516_doc34;R1048-13C-29067-23516_doc36;R1048-13C-29067-23516_doc37;R1048-13C-29067-23516_doc43;R1048-13C-29067-23516_doc47;R1048-13C-29067-23516_doc48;R1048-13C-29067-23516_doc49</t>
  </si>
  <si>
    <t>R1048-13C-23516-23516_doc11;R1048-13C-23516-23516_doc12;R1048-13C-23516-23516_doc13;R1048-13C-23516-23516_doc15;R1048-13C-23516-23516_doc17;R1048-13C-29067-23516_doc03;R1048-13C-29067-23516_doc04;R1048-13C-29067-23516_doc07;R1048-13C-29067-23516_doc25;R1048-13C-29067-23516_doc26;R1048-13C-29067-23516_doc35;R1048-13C-29067-23516_doc36;R1048-13C-29067-23516_doc45;R1048-13C-29067-23516_doc46;R1048-13C-29067-23516_doc47;R1048-13C-29067-23516_doc49</t>
  </si>
  <si>
    <t>R1048-13C-23516-23516_doc03;R1048-13C-23516-23516_doc11;R1048-13C-23516-23516_doc12;R1048-13C-26594-23516_doc15;R1048-13C-29067-23516_doc03;R1048-13C-29067-23516_doc11;R1048-13C-29067-23516_doc16;R1048-13C-29067-23516_doc25;R1048-13C-29067-23516_doc26;R1048-13C-29067-23516_doc32;R1048-13C-29067-23516_doc37;R1048-13C-29067-23516_doc42;R1048-13C-29067-23516_doc45;R1048-13C-29067-23516_doc46;R1048-13C-29067-23516_doc49;R1048-13C-29067-23516_doc50</t>
  </si>
  <si>
    <t>R1049-13C-40445-23516_doc03;R1049-13C-40445-23516_doc04;R1049-13C-40445-23516_doc05;R1049-13C-40445-23516_doc07;R1049-13C-40445-23516_doc08;R1049-13C-40445-23516_doc09;R1049-13C-40445-23516_doc10;R1049-13C-40445-23516_doc11;R1049-13C-40445-23516_doc12;R1049-13C-40445-23516_doc16;R1049-13C-44723-23516_doc12;R1050-13C-29566-24733_doc12;R1050-13C-29566-24733_doc13</t>
  </si>
  <si>
    <t>R1048-13C-25688-23516_doc07;R1048-13C-25688-23516_doc24;R1048-13C-25688-23516_doc28;R1048-13C-26594-23516_doc03;R1048-13C-26594-23516_doc10;R1048-13C-26594-23516_doc11;R1048-13C-26594-23516_doc12;R1049-13C-38006-23516_doc04;R1049-13C-44723-23516_doc02;R1049-13C-44723-23516_doc05;R1049-13C-44723-23516_doc06;R1049-13C-44723-23516_doc07;R1049-13C-44723-23516_doc16;R1049-13C-44723-23516_doc19</t>
  </si>
  <si>
    <t>R1048-13C-27886-23516_doc06;R1048-13C-29067-23516_doc02;R1048-13C-29067-23516_doc23;R1048-13C-29067-23516_doc25;R1048-13C-29067-23516_doc29;R1048-13C-29067-23516_doc32;R1048-13C-29067-23516_doc40;R1048-13C-29067-23516_doc41;R1048-13C-29067-23516_doc52;R1049-13C-38006-23516_doc04;R1049-13C-38006-23516_doc23</t>
  </si>
  <si>
    <t>R1048-13C-25688-23516_doc16;R1048-13C-25688-23516_doc17;R1048-13C-25688-23516_doc22;R1048-13C-25688-23516_doc24;R1048-13C-25688-23516_doc28;R1048-13C-26594-23516_doc02;R1048-13C-26594-23516_doc05;R1048-13C-26594-23516_doc06;R1048-13C-26594-23516_doc07;R1048-13C-26594-23516_doc09;R1048-13C-27886-23516_doc21;R1048-13C-36782-23516_doc09</t>
  </si>
  <si>
    <t>R1048-13C-27886-23516_doc03;R1048-13C-29693-23516_doc03;R1048-13C-29693-23516_doc04;R1048-13C-29693-23516_doc05;R1048-13C-29693-23516_doc06;R1048-13C-29693-23516_doc11;R1048-13C-29841-23516_doc06;R1049-13C-38006-23516_doc13;R1049-13C-38006-23516_doc36;R1049-13C-54922-23516_doc05</t>
  </si>
  <si>
    <t>R1048-13C-29693-23516_doc03;R1049-13C-44723-23516_doc02;R1049-13C-44723-23516_doc16;R1049-13C-54922-23516_doc05;R1050-13C-25400-24733_doc03;R1050-13C-29566-24733_doc04;R1050-13C-29566-24733_doc05;R1050-13C-29566-24733_doc06;R1050-13C-29566-24733_doc07</t>
  </si>
  <si>
    <t>R1048-13C-27886-23516_doc03;R1049-13C-38006-23516_doc04;R1049-13C-38006-23516_doc38;R1049-13C-38006-23516_doc39;R1049-13C-44723-23516_doc12;R1049-13C-44723-23516_doc16;R1049-13C-44723-23516_doc17</t>
  </si>
  <si>
    <t>R1048-13C-29067-23516_doc03;R1048-13C-29067-23516_doc08;R1048-13C-29067-23516_doc16;R1048-13C-29067-23516_doc25;R1048-13C-29067-23516_doc26;R1048-13C-29067-23516_doc34;R1048-13C-29067-23516_doc37;R1048-13C-29067-23516_doc43;R1048-13C-29067-23516_doc48;R1048-13C-29067-23516_doc50</t>
  </si>
  <si>
    <t>R1048-13C-25754-23516_doc05;R1048-13C-25754-23516_doc06;R1048-13C-25754-23516_doc10;R1048-13C-25754-23516_doc31;R1048-13C-25754-23516_doc32;R1048-13C-25754-23516_doc36;R1048-13C-27886-23516_doc17;R1049-13C-38006-23516_doc04;R1049-13C-44723-23516_doc16</t>
  </si>
  <si>
    <t>R1048-13C-29841-23516_doc02;R1048-13C-29841-23516_doc03;R1048-13C-29841-23516_doc04;R1048-13C-29841-23516_doc05;R1048-13C-29841-23516_doc06;R1048-13C-29841-23516_doc07;R1049-13C-40497-23516_doc02;R1049-13C-40497-23516_doc03;R1049-13C-40497-23516_doc04</t>
  </si>
  <si>
    <t>R1048-13C-29067-23516_doc05;R1048-13C-29067-23516_doc12;R1048-13C-29067-23516_doc14;R1048-13C-29067-23516_doc25;R1048-13C-29067-23516_doc26;R1048-13C-29067-23516_doc36;R1048-13C-29067-23516_doc37;R1048-13C-29067-23516_doc46;R1048-13C-29067-23516_doc49</t>
  </si>
  <si>
    <t>R1049-13C-38006-23516_doc05;R1049-13C-38006-23516_doc07;R1049-13C-38006-23516_doc32;R1049-13C-38006-23516_doc40;R1049-13C-44723-23516_doc06;R1049-13C-44723-23516_doc15;R1049-13C-44723-23516_doc16;R1049-13C-44723-23516_doc19;R1049-13C-44723-23516_doc23;R1049-13C-50908-23516_doc03</t>
  </si>
  <si>
    <t>R1049-13C-38006-23516_doc04;R1049-13C-38006-23516_doc31;R1049-13C-38006-23516_doc32;R1049-13C-38006-23516_doc34;R1049-13C-38006-23516_doc35;R1049-13C-38006-23516_doc36;R1049-13C-38006-23516_doc38;R1049-13C-38006-23516_doc39;R1049-13C-38006-23516_doc40</t>
  </si>
  <si>
    <t>R1048-13C-29693-23516_doc04;R1049-13C-38006-23516_doc35;R1049-13C-44723-23516_doc11;R1049-13C-44723-23516_doc12;R1049-13C-44723-23516_doc15;R1049-13C-44723-23516_doc16;R1049-13C-44723-23516_doc18;R1049-13C-44723-23516_doc22</t>
  </si>
  <si>
    <t>R1049-13C-41871-23516_doc02;R1049-13C-44723-23516_doc06;R1049-13C-44723-23516_doc13;R1049-13C-44723-23516_doc15;R1049-13C-44723-23516_doc19;R1049-13C-44723-23516_doc22;R1049-13C-44723-23516_doc23;R1049-13C-44723-23516_doc25</t>
  </si>
  <si>
    <t>R1048-13C-26594-23516_doc11;R1048-13C-29067-23516_doc36;R1049-13C-42876-23516_doc12;R1049-13C-44291-23516_doc06;R1049-13C-51702-23516_doc01;R1049-13C-56111-23516_doc02;R1050-13C-49083-24733_doc02</t>
  </si>
  <si>
    <t>R1048-13C-23516-23516_doc13;R1048-13C-23516-23516_doc15;R1048-13C-29067-23516_doc25;R1048-13C-29067-23516_doc26;R1048-13C-29913-23516_doc08;R1048-13C-29913-23516_doc09;R1049-13C-60295-23516_doc03</t>
  </si>
  <si>
    <t>R1048-13C-23516-23516_doc01;R1048-13C-23516-23516_doc08;R1048-13C-23516-23516_doc09;R1048-13C-27886-23516_doc38;R1048-13C-27886-23516_doc39;R1048-13C-27886-23516_doc40</t>
  </si>
  <si>
    <t>R1049-13C-44723-23516_doc06;R1049-13C-44723-23516_doc12;R1049-13C-44723-23516_doc13;R1049-13C-44723-23516_doc15;R1049-13C-44723-23516_doc16;R1049-13C-44723-23516_doc19</t>
  </si>
  <si>
    <t>R1048-13C-29693-23516_doc07;R1048-13C-29841-23516_doc06;R1049-13C-38006-23516_doc36;R1049-13C-38006-23516_doc43;R1049-13C-44723-23516_doc14;R1049-13C-54922-23516_doc05</t>
  </si>
  <si>
    <t>R1049-13C-54922-23516_doc01;R1049-13C-54922-23516_doc03;R1049-13C-54922-23516_doc06;R1049-13C-54922-23516_doc07;R1049-13C-54922-23516_doc08;R1049-13C-54922-23516_doc09</t>
  </si>
  <si>
    <t>R1048-13C-29067-23516_doc07;R1048-13C-29067-23516_doc12;R1048-13C-29067-23516_doc36;R1048-13C-29067-23516_doc37;R1048-13C-29067-23516_doc47;R1048-13C-29067-23516_doc49</t>
  </si>
  <si>
    <t>R1048-13C-29067-23516_doc12;R1048-13C-29067-23516_doc26;R1048-13C-29067-23516_doc36;R1048-13C-29067-23516_doc37;R1048-13C-29067-23516_doc49</t>
  </si>
  <si>
    <t>R1049-13C-38006-23516_doc04;R1049-13C-38006-23516_doc26;R1049-13C-38006-23516_doc30</t>
  </si>
  <si>
    <t>R1048-13C-24630-23516_doc01;R1048-13C-24630-23516_doc02;R1048-13C-24630-23516_doc03;R1048-13C-24630-23516_doc04;R1048-13C-24630-23516_doc05;R1048-13C-24630-23516_doc06</t>
  </si>
  <si>
    <t>R1048-13C-25754-23516_doc05;R1048-13C-25754-23516_doc06;R1048-13C-25754-23516_doc15;R1048-13C-25754-23516_doc31;R1048-13C-25754-23516_doc32;R1048-13C-25754-23516_doc46</t>
  </si>
  <si>
    <t>R1048-13C-29067-23516_doc04;R1048-13C-29067-23516_doc12;R1048-13C-29067-23516_doc25;R1048-13C-29067-23516_doc37;R1048-13C-29067-23516_doc45;R1048-13C-29067-23516_doc49</t>
  </si>
  <si>
    <t>R1049-13C-38006-23516_doc23;R1049-13C-38006-23516_doc24;R1049-13C-44723-23516_doc06;R1049-13C-44723-23516_doc15;R1049-13C-44723-23516_doc16;R1049-13C-44723-23516_doc19</t>
  </si>
  <si>
    <t>R1048-13C-29067-23516_doc11;R1048-13C-29067-23516_doc25;R1048-13C-29067-23516_doc26;R1048-13C-29067-23516_doc36;R1048-13C-29067-23516_doc46;R1048-13C-29067-23516_doc47</t>
  </si>
  <si>
    <t>R1049-13C-40445-23516_doc14;R1049-13C-40716-23516_doc02;R1049-13C-40716-23516_doc03;R1049-13C-40716-23516_doc04;R1049-13C-40716-23516_doc05;R1049-13C-44723-23516_doc12</t>
  </si>
  <si>
    <t>5e Commission, 3e Assemblée</t>
  </si>
  <si>
    <t>(juste nommé, ne pas prendre en compte)</t>
  </si>
  <si>
    <t>5e Commission, 3e Assemblée, Commission de coopération intellectuelle</t>
  </si>
  <si>
    <t>2nd Session of the Committee on Intellectual Cooperation, which was held in 1923; Congrès International pour la Langue Auxiliaire IDO aura lieu à Cassel (Allemagne) du 4 au 9 août 1923</t>
  </si>
  <si>
    <t>Comité de coopération intellectuelle</t>
  </si>
  <si>
    <t>5e Commission, 3e Assemblée, Conférence de Venise Chambres de commerce</t>
  </si>
  <si>
    <t>Committee on Intellectual Cooperation, 2nd session</t>
  </si>
  <si>
    <t>5e Commission, 3e Assemblée, Commission de Coopération intellectuelle</t>
  </si>
  <si>
    <t>(ne pas prendre en compte, mort en 1914)</t>
  </si>
  <si>
    <t>First report of The Comittee on international auxiliary language of the international research council, brussels july 25, 1922</t>
  </si>
  <si>
    <t>Conférence de Venise Chambres de commerce</t>
  </si>
  <si>
    <t>Suisse</t>
  </si>
  <si>
    <t>Britannique, Autrichien</t>
  </si>
  <si>
    <t>Japonais</t>
  </si>
  <si>
    <t>Français</t>
  </si>
  <si>
    <t>Polonais (Empire russe)</t>
  </si>
  <si>
    <t>Américain</t>
  </si>
  <si>
    <t>Britannique</t>
  </si>
  <si>
    <t>Norvégien</t>
  </si>
  <si>
    <t>Allemand</t>
  </si>
  <si>
    <t>Dänemark</t>
  </si>
  <si>
    <t>Italien</t>
  </si>
  <si>
    <t>Kindom Serbs, Croats and Slovenes</t>
  </si>
  <si>
    <t>Belgique</t>
  </si>
  <si>
    <t>Bulgarie</t>
  </si>
  <si>
    <t>Roumanie</t>
  </si>
  <si>
    <t>Brasilian</t>
  </si>
  <si>
    <t>Homme</t>
  </si>
  <si>
    <t>Femme</t>
  </si>
  <si>
    <t>SDN</t>
  </si>
  <si>
    <t>Sociétés membres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</si>
</sst>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0" fillId="0" borderId="0" xfId="0"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K41"/>
  <sheetViews>
    <sheetView tabSelected="1" workbookViewId="0"/>
  </sheetViews>
  <sheetFormatPr defaultRowHeight="15"/>
  <cols>
    <col min="1" max="2" width="15.7109375" customWidth="1"/>
    <col min="3" max="3" width="25.7109375" customWidth="1"/>
    <col min="4" max="4" width="40.7109375" customWidth="1"/>
    <col min="5" max="5" width="50.7109375" customWidth="1"/>
    <col min="6" max="6" width="40.7109375" customWidth="1"/>
    <col min="7" max="7" width="30.7109375" customWidth="1"/>
    <col min="8" max="8" width="80.7109375" customWidth="1"/>
    <col min="9" max="9" width="20.7109375" customWidth="1"/>
    <col min="10" max="10" width="10.7109375" customWidth="1"/>
    <col min="11" max="11" width="20.7109375" customWidth="1"/>
  </cols>
  <sheetData>
    <row r="1" spans="1:11">
      <c r="A1" s="1" t="s">
        <v>0</v>
      </c>
      <c r="B1" s="1" t="s">
        <v>1</v>
      </c>
      <c r="C1" s="1" t="s">
        <v>2</v>
      </c>
      <c r="D1" s="1" t="s">
        <v>3</v>
      </c>
      <c r="E1" s="1" t="s">
        <v>4</v>
      </c>
      <c r="F1" s="1" t="s">
        <v>5</v>
      </c>
      <c r="G1" s="1" t="s">
        <v>6</v>
      </c>
      <c r="H1" s="1" t="s">
        <v>7</v>
      </c>
      <c r="I1" s="1" t="s">
        <v>8</v>
      </c>
      <c r="J1" s="1" t="s">
        <v>9</v>
      </c>
      <c r="K1" s="1" t="s">
        <v>10</v>
      </c>
    </row>
    <row r="2" spans="1:11">
      <c r="A2" t="s">
        <v>11</v>
      </c>
      <c r="B2" t="s">
        <v>51</v>
      </c>
      <c r="C2" t="s">
        <v>83</v>
      </c>
      <c r="D2" t="s">
        <v>123</v>
      </c>
      <c r="E2" t="s">
        <v>163</v>
      </c>
      <c r="F2" t="s">
        <v>194</v>
      </c>
      <c r="G2" t="s">
        <v>233</v>
      </c>
      <c r="H2" s="2">
        <f>HYPERLINK("https://impresso-project.ch/app/article/IMP-1922-09-27-a-i0029","IMP-1922-09-27-a-i0029") | Bibliographie | 1922-09-27 | IMP; =HYPERLINK("https://impresso-project.ch/app/article/JDG-1922-09-05-a-i0030","JDG-1922-09-05-a-i0030") | Assemblées à la Réformation | 1922-09-05 | JDG; =HYPERLINK("https://impresso-project.ch/app/article/JDG-1922-09-06-a-i0010","JDG-1922-09-06-a-i0010") | Lettre de Finlande | 1922-09-06 | JDG; =HYPERLINK("https://impresso-project.ch/app/article/JDG-1922-09-28-a-i0045","JDG-1922-09-28-a-i0045") | [Sans titre] | 1922-09-28 | JDG; =HYPERLINK("https://impresso-project.ch/app/article/lepetitparisien-1922-08-18-a-i0044","lepetitparisien-1922-08-18-a-i0044") | LE XIV3 CONGRÈS UNIVERSEL D'ESPERANTO | 1922-08-18 | lepetitparisien; =HYPERLINK("https://impresso-project.ch/app/article/LLS-1922-10-21-a-i0025","LLS-1922-10-21-a-i0025") | Vient de paraître | 1922-10-21 | LLS; =HYPERLINK("https://impresso-project.ch/app/article/LLS-1922-10-07-a-i0020","LLS-1922-10-07-a-i0020") | Vient de paraître | 1922-10-07 | LLS; =HYPERLINK("https://impresso-project.ch/app/article/JDG-1922-09-30-a-i0047","JDG-1922-09-30-a-i0047") | PARTI DÉMOCRATIQUE | 1922-09-30 | JDG; =HYPERLINK("https://impresso-project.ch/app/article/LSE-1922-09-25-a-i0001","LSE-1922-09-25-a-i0001") | Quotidien socialiste Lecteurs, I’ î socialiste est paru Vive la Démocr[...] | 1922-09-25 | LSE; =HYPERLINK("https://impresso-project.ch/app/article/NZZ-1922-09-07-b-i0006","NZZ-1922-09-07-b-i0006") | [Sans titre] | 1922-09-07 | NZZ; =HYPERLINK("https://impresso-project.ch/app/article/LSE-1922-09-22-a-i0025","LSE-1922-09-22-a-i0025") | ETRANGER | 1922-09-22 | LSE; =HYPERLINK("https://impresso-project.ch/app/article/GDL-1922-10-29-a-i0072","GDL-1922-10-29-a-i0072") | LES LIVRES DU JOUR | 1922-10-29 | GDL</f>
        <v>0</v>
      </c>
      <c r="I2" t="s">
        <v>244</v>
      </c>
      <c r="J2" t="s">
        <v>260</v>
      </c>
      <c r="K2" t="s">
        <v>262</v>
      </c>
    </row>
    <row r="3" spans="1:11">
      <c r="A3" t="s">
        <v>12</v>
      </c>
      <c r="B3" t="s">
        <v>52</v>
      </c>
      <c r="C3" t="s">
        <v>84</v>
      </c>
      <c r="D3" t="s">
        <v>124</v>
      </c>
      <c r="E3" t="s">
        <v>164</v>
      </c>
      <c r="F3" t="s">
        <v>195</v>
      </c>
      <c r="G3" t="s">
        <v>233</v>
      </c>
      <c r="H3" s="2">
        <f>HYPERLINK("https://impresso-project.ch/app/article/JDG-1922-09-17-a-i0021","JDG-1922-09-17-a-i0021") | [Sans titre] | 1922-09-17 | JDG; =HYPERLINK("https://impresso-project.ch/app/article/GDL-1922-09-17-a-i0010","GDL-1922-09-17-a-i0010") | Sa Sfs Ma | 1922-09-17 | GDL; =HYPERLINK("https://impresso-project.ch/app/article/oeuvre-1922-09-09-a-i0027","oeuvre-1922-09-09-a-i0027") | UN GRAND DISCOURS DE LORD BALFOUR | 1922-09-09 | oeuvre; =HYPERLINK("https://impresso-project.ch/app/article/JDG-1922-08-06-a-i0004","JDG-1922-08-06-a-i0004") | Sous les ombrages d'Academus | 1922-08-06 | JDG; =HYPERLINK("https://impresso-project.ch/app/article/lepetitparisien-1922-09-06-a-i0027","lepetitparisien-1922-09-06-a-i0027") | La troisième séance de l'Assemblée de la S. D. H | 1922-09-06 | lepetitparisien; =HYPERLINK("https://impresso-project.ch/app/article/JDG-1922-08-02-a-i0020","JDG-1922-08-02-a-i0020") | Le proche Orient | 1922-08-02 | JDG; =HYPERLINK("https://impresso-project.ch/app/article/JDG-1922-09-13-a-i0092","JDG-1922-09-13-a-i0092") | gme Société des nations | 1922-09-13 | JDG; =HYPERLINK("https://impresso-project.ch/app/article/GDL-1922-09-22-a-i0079","GDL-1922-09-22-a-i0079") | La troisième session delaJU. N. | 1922-09-22 | GDL; =HYPERLINK("https://impresso-project.ch/app/article/JDG-1922-09-06-a-i0025","JDG-1922-09-06-a-i0025") | LA QUATRIEME SEANCE | 1922-09-06 | JDG; =HYPERLINK("https://impresso-project.ch/app/article/GDL-1922-09-29-a-i0004","GDL-1922-09-29-a-i0004") | La troisième session de la S. d. N. Vingtième séance plénière | 1922-09-29 | GDL; =HYPERLINK("https://impresso-project.ch/app/article/JDG-1922-09-22-a-i0029","JDG-1922-09-22-a-i0029") | Contre l'esclavage | 1922-09-22 | JDG; =HYPERLINK("https://impresso-project.ch/app/article/JDG-1922-09-07-a-i0015","JDG-1922-09-07-a-i0015") | Société des nations | 1922-09-07 | JDG; =HYPERLINK("https://impresso-project.ch/app/article/indeplux-1922-09-13-a-i0039","indeplux-1922-09-13-a-i0039") | Société des Nations La Société des Nations au travail | 1922-09-13 | indeplux; =HYPERLINK("https://impresso-project.ch/app/article/oeuvre-1922-09-22-a-i0093","oeuvre-1922-09-22-a-i0093") | L'ASSEMBLÉE DE LA SOCIÉTÉ DES NATIONS s'occupe de la protection des mi[...] | 1922-09-22 | oeuvre; =HYPERLINK("https://impresso-project.ch/app/article/oeuvre-1922-09-15-a-i0030","oeuvre-1922-09-15-a-i0030") | A GENÈVE, PENDANT L'ENTR'ACTE : Le projet de Lord Robert Cecil a fait [...] | 1922-09-15 | oeuvre; =HYPERLINK("https://impresso-project.ch/app/article/LSE-1922-10-11-a-i0002","LSE-1922-10-11-a-i0002") | EN EUROPE CENTRALE Aux Chambres féd | 1922-10-11 | LSE; =HYPERLINK("https://impresso-project.ch/app/article/GDL-1922-08-03-a-i0012","GDL-1922-08-03-a-i0012") | Sa fia. Ni | 1922-08-03 | GDL; =HYPERLINK("https://impresso-project.ch/app/article/NZZ-1922-09-23-a-i0002","NZZ-1922-09-23-a-i0002") | [Sans titre] | 1922-09-23 | NZZ; =HYPERLINK("https://impresso-project.ch/app/article/LSE-1922-09-15-a-i0001","LSE-1922-09-15-a-i0001") | Quotidien socialiste |OT~Citoyens suisses, ne vous laissez pas museler[...] | 1922-09-15 | LSE; =HYPERLINK("https://impresso-project.ch/app/article/GDL-1922-09-14-a-i0011","GDL-1922-09-14-a-i0011") | 9B ÊEB NB | 1922-09-14 | GDL; =HYPERLINK("https://impresso-project.ch/app/article/NZZ-1922-09-29-c-i0002","NZZ-1922-09-29-c-i0002") | [Sans titre] | 1922-09-29 | NZZ; =HYPERLINK("https://impresso-project.ch/app/article/LSE-1922-10-10-a-i0001","LSE-1922-10-10-a-i0001") | La Sentinelle Quotidien socialiste Lecteurs, achetez de préférence l’Â[...] | 1922-10-10 | LSE; =HYPERLINK("https://impresso-project.ch/app/article/NZZ-1922-09-21-a-i0010","NZZ-1922-09-21-a-i0010") | [Sans titre] | 1922-09-21 | NZZ; =HYPERLINK("https://impresso-project.ch/app/article/NZZ-1922-09-21-a-i0002","NZZ-1922-09-21-a-i0002") | [Sans titre] | 1922-09-21 | NZZ; =HYPERLINK("https://impresso-project.ch/app/article/NZZ-1922-09-15-b-i0001","NZZ-1922-09-15-b-i0001") | [Sans titre] | 1922-09-15 | NZZ; =HYPERLINK("https://impresso-project.ch/app/article/NZZ-1922-09-11-b-i0014","NZZ-1922-09-11-b-i0014") | [Sans titre] | 1922-09-11 | NZZ; =HYPERLINK("https://impresso-project.ch/app/article/NZZ-1922-09-26-c-i0002","NZZ-1922-09-26-c-i0002") | [Sans titre] | 1922-09-26 | NZZ; =HYPERLINK("https://impresso-project.ch/app/article/LLE-1922-09-07-a-i0006","LLE-1922-09-07-a-i0006") | Société des nations | 1922-09-07 | LLE</f>
        <v>0</v>
      </c>
      <c r="I3" t="s">
        <v>245</v>
      </c>
      <c r="J3" t="s">
        <v>260</v>
      </c>
      <c r="K3" t="s">
        <v>262</v>
      </c>
    </row>
    <row r="4" spans="1:11">
      <c r="A4" t="s">
        <v>13</v>
      </c>
      <c r="B4" t="s">
        <v>53</v>
      </c>
      <c r="C4" t="s">
        <v>85</v>
      </c>
      <c r="D4" t="s">
        <v>125</v>
      </c>
      <c r="E4" t="s">
        <v>165</v>
      </c>
      <c r="F4" t="s">
        <v>196</v>
      </c>
      <c r="G4" t="s">
        <v>233</v>
      </c>
      <c r="H4" s="2">
        <f>HYPERLINK("https://impresso-project.ch/app/article/JDG-1922-08-21-a-i0029","JDG-1922-08-21-a-i0029") | CARNET DU JOUR | 1922-08-21 | JDG; =HYPERLINK("https://impresso-project.ch/app/article/LES-1922-08-19-a-i0010","LES-1922-08-19-a-i0010") | Le Bureau International raueaiion | 1922-08-19 | LES; =HYPERLINK("https://impresso-project.ch/app/article/GDL-1922-08-06-a-i0011","GDL-1922-08-06-a-i0011") | S&amp;gt; dL ra | 1922-08-06 | GDL; =HYPERLINK("https://impresso-project.ch/app/article/JDG-1922-08-23-a-i0044","JDG-1922-08-23-a-i0044") | [Sans titre] | 1922-08-23 | JDG; =HYPERLINK("https://impresso-project.ch/app/article/JDG-1922-08-20-a-i0054","JDG-1922-08-20-a-i0054") | CARNET DU JOUR | 1922-08-20 | JDG; =HYPERLINK("https://impresso-project.ch/app/article/JDG-1922-09-16-a-i0040","JDG-1922-09-16-a-i0040") | [Sans titre] | 1922-09-16 | JDG; =HYPERLINK("https://impresso-project.ch/app/article/JDG-1922-09-17-a-i0054","JDG-1922-09-17-a-i0054") | ÛEiÈWE | 1922-09-17 | JDG; =HYPERLINK("https://impresso-project.ch/app/article/JDG-1922-08-15-a-i0041","JDG-1922-08-15-a-i0041") | CARNET DU JOUR | 1922-08-15 | JDG; =HYPERLINK("https://impresso-project.ch/app/article/JDG-1922-08-19-a-i0045","JDG-1922-08-19-a-i0045") | GENÈVE | 1922-08-19 | JDG; =HYPERLINK("https://impresso-project.ch/app/article/JDG-1922-08-11-a-i0042","JDG-1922-08-11-a-i0042") | GENÈV E | 1922-08-11 | JDG; =HYPERLINK("https://impresso-project.ch/app/article/JDG-1922-08-05-a-i0017","JDG-1922-08-05-a-i0017") | Société des dations | 1922-08-05 | JDG; =HYPERLINK("https://impresso-project.ch/app/article/JDG-1922-08-11-a-i0043","JDG-1922-08-11-a-i0043") | CARNET DU JOUR | 1922-08-11 | JDG; =HYPERLINK("https://impresso-project.ch/app/article/JDG-1922-08-13-a-i0043","JDG-1922-08-13-a-i0043") | GENÈVE | 1922-08-13 | JDG; =HYPERLINK("https://impresso-project.ch/app/article/JDG-1922-08-19-a-i0048","JDG-1922-08-19-a-i0048") | CARNET DU JOUR | 1922-08-19 | JDG; =HYPERLINK("https://impresso-project.ch/app/article/NZZ-1922-08-13-d-i0001","NZZ-1922-08-13-d-i0001") | [Sans titre] | 1922-08-13 | NZZ</f>
        <v>0</v>
      </c>
      <c r="I4" t="s">
        <v>246</v>
      </c>
      <c r="J4" t="s">
        <v>260</v>
      </c>
      <c r="K4" t="s">
        <v>262</v>
      </c>
    </row>
    <row r="5" spans="1:11">
      <c r="A5" t="s">
        <v>14</v>
      </c>
      <c r="B5" t="s">
        <v>54</v>
      </c>
      <c r="C5" t="s">
        <v>86</v>
      </c>
      <c r="D5" t="s">
        <v>126</v>
      </c>
      <c r="F5" t="s">
        <v>197</v>
      </c>
      <c r="G5" t="s">
        <v>233</v>
      </c>
      <c r="H5" s="2">
        <f>HYPERLINK("https://impresso-project.ch/app/article/indeplux-1922-10-16-a-i0001","indeplux-1922-10-16-a-i0001") | Billet extérieur | 1922-10-16 | indeplux; =HYPERLINK("https://impresso-project.ch/app/article/indeplux-1922-09-04-a-i0001","indeplux-1922-09-04-a-i0001") | Billet extérieur | 1922-09-04 | indeplux; =HYPERLINK("https://impresso-project.ch/app/article/indeplux-1922-09-18-a-i0001","indeplux-1922-09-18-a-i0001") | Billet extérieur | 1922-09-18 | indeplux; =HYPERLINK("https://impresso-project.ch/app/article/indeplux-1922-10-30-a-i0001","indeplux-1922-10-30-a-i0001") | Billet extérieur | 1922-10-30 | indeplux; =HYPERLINK("https://impresso-project.ch/app/article/indeplux-1922-08-16-a-i0001","indeplux-1922-08-16-a-i0001") | Billet extérieur | 1922-08-16 | indeplux; =HYPERLINK("https://impresso-project.ch/app/article/indeplux-1922-10-23-a-i0001","indeplux-1922-10-23-a-i0001") | Billet extérieur | 1922-10-23 | indeplux; =HYPERLINK("https://impresso-project.ch/app/article/indeplux-1922-10-09-a-i0001","indeplux-1922-10-09-a-i0001") | Billet extérieur | 1922-10-09 | indeplux; =HYPERLINK("https://impresso-project.ch/app/article/indeplux-1922-08-21-a-i0001","indeplux-1922-08-21-a-i0001") | Billet extérieur | 1922-08-21 | indeplux; =HYPERLINK("https://impresso-project.ch/app/article/indeplux-1922-09-13-a-i0001","indeplux-1922-09-13-a-i0001") | Billet extérieur | 1922-09-13 | indeplux; =HYPERLINK("https://impresso-project.ch/app/article/indeplux-1922-08-28-a-i0001","indeplux-1922-08-28-a-i0001") | Billet extérieur | 1922-08-28 | indeplux; =HYPERLINK("https://impresso-project.ch/app/article/indeplux-1922-09-25-a-i0001","indeplux-1922-09-25-a-i0001") | Billet extérieur | 1922-09-25 | indeplux; =HYPERLINK("https://impresso-project.ch/app/article/indeplux-1922-08-08-a-i0001","indeplux-1922-08-08-a-i0001") | Billet extérieur | 1922-08-08 | indeplux; =HYPERLINK("https://impresso-project.ch/app/article/EXP-1922-09-02-a-i0094","EXP-1922-09-02-a-i0094") | POLITIQUE , | 1922-09-02 | EXP</f>
        <v>0</v>
      </c>
      <c r="I5" t="s">
        <v>247</v>
      </c>
      <c r="J5" t="s">
        <v>260</v>
      </c>
      <c r="K5" t="s">
        <v>262</v>
      </c>
    </row>
    <row r="6" spans="1:11">
      <c r="A6" t="s">
        <v>15</v>
      </c>
      <c r="B6" t="s">
        <v>55</v>
      </c>
      <c r="C6" t="s">
        <v>87</v>
      </c>
      <c r="D6" t="s">
        <v>127</v>
      </c>
      <c r="E6" t="s">
        <v>166</v>
      </c>
      <c r="F6" t="s">
        <v>198</v>
      </c>
      <c r="G6" t="s">
        <v>234</v>
      </c>
      <c r="H6" s="2">
        <f>HYPERLINK("https://impresso-project.ch/app/article/GDL-1922-08-21-a-i0020","GDL-1922-08-21-a-i0020") | 9B CB Sa | 1922-08-21 | GDL; =HYPERLINK("https://impresso-project.ch/app/article/indeplux-1922-08-23-a-i0019","indeplux-1922-08-23-a-i0019") | M. Léon Bérard et l’Espéranto | 1922-08-23 | indeplux; =HYPERLINK("https://impresso-project.ch/app/article/lepetitparisien-1922-08-24-a-i0070","lepetitparisien-1922-08-24-a-i0070") | L'ESPÉRANTO | 1922-08-24 | lepetitparisien; =HYPERLINK("https://impresso-project.ch/app/article/NZZ-1922-09-25-a-i0005","NZZ-1922-09-25-a-i0005") | [Sans titre] | 1922-09-25 | NZZ</f>
        <v>0</v>
      </c>
      <c r="I6" t="s">
        <v>248</v>
      </c>
      <c r="J6" t="s">
        <v>260</v>
      </c>
      <c r="K6" t="s">
        <v>263</v>
      </c>
    </row>
    <row r="7" spans="1:11">
      <c r="A7" t="s">
        <v>16</v>
      </c>
      <c r="B7" t="s">
        <v>56</v>
      </c>
      <c r="C7" t="s">
        <v>88</v>
      </c>
      <c r="D7" t="s">
        <v>128</v>
      </c>
      <c r="E7" t="s">
        <v>167</v>
      </c>
      <c r="F7" t="s">
        <v>199</v>
      </c>
      <c r="G7" t="s">
        <v>233</v>
      </c>
      <c r="H7" s="2"/>
      <c r="I7" t="s">
        <v>249</v>
      </c>
      <c r="J7" t="s">
        <v>261</v>
      </c>
      <c r="K7" t="s">
        <v>262</v>
      </c>
    </row>
    <row r="8" spans="1:11">
      <c r="A8" t="s">
        <v>17</v>
      </c>
      <c r="B8" t="s">
        <v>57</v>
      </c>
      <c r="C8" t="s">
        <v>89</v>
      </c>
      <c r="D8" t="s">
        <v>129</v>
      </c>
      <c r="F8" t="s">
        <v>200</v>
      </c>
      <c r="G8" t="s">
        <v>233</v>
      </c>
      <c r="H8" s="2"/>
      <c r="I8" t="s">
        <v>250</v>
      </c>
      <c r="J8" t="s">
        <v>261</v>
      </c>
      <c r="K8" t="s">
        <v>262</v>
      </c>
    </row>
    <row r="9" spans="1:11">
      <c r="A9" t="s">
        <v>18</v>
      </c>
      <c r="B9" t="s">
        <v>58</v>
      </c>
      <c r="C9" t="s">
        <v>90</v>
      </c>
      <c r="D9" t="s">
        <v>130</v>
      </c>
      <c r="F9" t="s">
        <v>201</v>
      </c>
      <c r="G9" t="s">
        <v>233</v>
      </c>
      <c r="H9" s="2">
        <f>HYPERLINK("https://impresso-project.ch/app/article/EXP-1922-08-24-a-i0049","EXP-1922-08-24-a-i0049") | POLITIQUE | 1922-08-24 | EXP; =HYPERLINK("https://impresso-project.ch/app/article/JDG-1922-08-23-a-i0107","JDG-1922-08-23-a-i0107") | Société des Nations | 1922-08-23 | JDG</f>
        <v>0</v>
      </c>
      <c r="I9" t="s">
        <v>58</v>
      </c>
      <c r="J9" t="s">
        <v>261</v>
      </c>
      <c r="K9" t="s">
        <v>262</v>
      </c>
    </row>
    <row r="10" spans="1:11">
      <c r="A10" t="s">
        <v>19</v>
      </c>
      <c r="B10" t="s">
        <v>58</v>
      </c>
      <c r="C10" t="s">
        <v>91</v>
      </c>
      <c r="D10" t="s">
        <v>131</v>
      </c>
      <c r="E10" t="s">
        <v>168</v>
      </c>
      <c r="F10" t="s">
        <v>202</v>
      </c>
      <c r="G10" t="s">
        <v>235</v>
      </c>
      <c r="H10" s="2">
        <f>HYPERLINK("https://impresso-project.ch/app/article/EXP-1922-09-13-a-i0069","EXP-1922-09-13-a-i0069") | POLITIQUE Société des nations | 1922-09-13 | EXP; =HYPERLINK("https://impresso-project.ch/app/article/JDG-1922-09-13-a-i0020","JDG-1922-09-13-a-i0020") | Société des nations | 1922-09-13 | JDG; =HYPERLINK("https://impresso-project.ch/app/article/oecaen-1922-09-20-a-i0031","oecaen-1922-09-20-a-i0031") | &lt; LA FXiBCHB | 1922-09-20 | oecaen; =HYPERLINK("https://impresso-project.ch/app/article/oeuvre-1922-09-19-a-i0026","oeuvre-1922-09-19-a-i0026") | LA DIXIÈME ASSAMBLEE PLÊNIÈRE | 1922-09-19 | oeuvre</f>
        <v>0</v>
      </c>
      <c r="I10" t="s">
        <v>251</v>
      </c>
      <c r="J10" t="s">
        <v>261</v>
      </c>
      <c r="K10" t="s">
        <v>262</v>
      </c>
    </row>
    <row r="11" spans="1:11">
      <c r="A11" t="s">
        <v>20</v>
      </c>
      <c r="B11" t="s">
        <v>59</v>
      </c>
      <c r="C11" t="s">
        <v>92</v>
      </c>
      <c r="D11" t="s">
        <v>132</v>
      </c>
      <c r="E11" t="s">
        <v>169</v>
      </c>
      <c r="F11" t="s">
        <v>203</v>
      </c>
      <c r="G11" t="s">
        <v>236</v>
      </c>
      <c r="H11" s="2"/>
      <c r="I11" t="s">
        <v>252</v>
      </c>
      <c r="J11" t="s">
        <v>260</v>
      </c>
      <c r="K11" t="s">
        <v>263</v>
      </c>
    </row>
    <row r="12" spans="1:11">
      <c r="A12" t="s">
        <v>21</v>
      </c>
      <c r="B12" t="s">
        <v>60</v>
      </c>
      <c r="C12" t="s">
        <v>93</v>
      </c>
      <c r="D12" t="s">
        <v>133</v>
      </c>
      <c r="E12" t="s">
        <v>170</v>
      </c>
      <c r="F12" t="s">
        <v>204</v>
      </c>
      <c r="H12" s="2">
        <f>HYPERLINK("https://impresso-project.ch/app/article/oeuvre-1922-08-05-a-i0034","oeuvre-1922-08-05-a-i0034") | L'Amérique et la Société des Nations | 1922-08-05 | oeuvre; =HYPERLINK("https://impresso-project.ch/app/article/GDL-1922-08-17-a-i0074","GDL-1922-08-17-a-i0074") | [Sans titre] | 1922-08-17 | GDL; =HYPERLINK("https://impresso-project.ch/app/article/JDG-1922-08-17-a-i0083","JDG-1922-08-17-a-i0083") | Société des Nations | 1922-08-17 | JDG; =HYPERLINK("https://impresso-project.ch/app/article/lematin-1922-09-19-a-i0039","lematin-1922-09-19-a-i0039") | Les secours aux réfugiés de Smyrne | 1922-09-19 | lematin; =HYPERLINK("https://impresso-project.ch/app/article/JDG-1922-09-10-a-i0016","JDG-1922-09-10-a-i0016") | DISCUSSIO N GENERAL E SU R L E RAPPOR T D U CONSEI L | 1922-09-10 | JDG; =HYPERLINK("https://impresso-project.ch/app/article/JDG-1922-10-27-a-i0044","JDG-1922-10-27-a-i0044") | IV me C©nféreisce du îravai | 1922-10-27 | JDG; =HYPERLINK("https://impresso-project.ch/app/article/JDG-1922-09-19-a-i0090","JDG-1922-09-19-a-i0090") | S me EDITION Société des nations | 1922-09-19 | JDG; =HYPERLINK("https://impresso-project.ch/app/article/EXP-1922-08-18-a-i0035","EXP-1922-08-18-a-i0035") | POLITIQUE | 1922-08-18 | EXP; =HYPERLINK("https://impresso-project.ch/app/article/JDG-1922-10-02-a-i0020","JDG-1922-10-02-a-i0020") | Société des nations | 1922-10-02 | JDG; =HYPERLINK("https://impresso-project.ch/app/article/GDL-1922-09-04-a-i0071","GDL-1922-09-04-a-i0071") | Sa da | 1922-09-04 | GDL; =HYPERLINK("https://impresso-project.ch/app/article/legaulois-1922-10-03-a-i0004","legaulois-1922-10-03-a-i0004") | DANS LE MONDE OFFICIEL | 1922-10-03 | legaulois; =HYPERLINK("https://impresso-project.ch/app/article/EXP-1922-09-04-a-i0056","EXP-1922-09-04-a-i0056") | APOLITIQUE | 1922-09-04 | EXP; =HYPERLINK("https://impresso-project.ch/app/article/GDL-1922-09-29-a-i0010","GDL-1922-09-29-a-i0010") | L'Azerbaïdjan et la S. d. | 1922-09-29 | GDL; =HYPERLINK("https://impresso-project.ch/app/article/NZZ-1922-09-19-a-i0002","NZZ-1922-09-19-a-i0002") | [Sans titre] | 1922-09-19 | NZZ; =HYPERLINK("https://impresso-project.ch/app/article/LLE-1922-09-05-a-i0002","LLE-1922-09-05-a-i0002") | La troisième assemblée de la Société des... | 1922-09-05 | LLE; =HYPERLINK("https://impresso-project.ch/app/article/luxwort-1922-09-05-a-i0058","luxwort-1922-09-05-a-i0058") | Die 3. Völkerbundsversammlung in Genf. | 1922-09-05 | luxwort; =HYPERLINK("https://impresso-project.ch/app/article/NZZ-1922-09-03-a-i0002","NZZ-1922-09-03-a-i0002") | [Sans titre] | 1922-09-03 | NZZ; =HYPERLINK("https://impresso-project.ch/app/article/FZG-1922-08-18-a-i0038","FZG-1922-08-18-a-i0038") | «danken die schwerste «Niederlage. «Gin ... | 1922-08-18 | FZG; =HYPERLINK("https://impresso-project.ch/app/article/NZZ-1922-10-23-d-i0001","NZZ-1922-10-23-d-i0001") | [Sans titre] | 1922-10-23 | NZZ; =HYPERLINK("https://impresso-project.ch/app/article/FZG-1922-10-24-a-i0014","FZG-1922-10-24-a-i0014") | mmmm W&gt;/AL- rMsh*.*.*» A. •*&amp; Jts-**i | 1922-10-24 | FZG; =HYPERLINK("https://impresso-project.ch/app/article/NZZ-1922-09-03-a-i0009","NZZ-1922-09-03-a-i0009") | [Sans titre] | 1922-09-03 | NZZ; =HYPERLINK("https://impresso-project.ch/app/article/FZG-1922-09-04-a-i0015","FZG-1922-09-04-a-i0015") | • Neueste Meldunam # | 1922-09-04 | FZG; =HYPERLINK("https://impresso-project.ch/app/article/FZG-1922-09-02-a-i0022","FZG-1922-09-02-a-i0022") | Jum griechisch«türkische Konflikt. Adana... | 1922-09-02 | FZG</f>
        <v>0</v>
      </c>
      <c r="I12" t="s">
        <v>250</v>
      </c>
      <c r="J12" t="s">
        <v>260</v>
      </c>
      <c r="K12" t="s">
        <v>262</v>
      </c>
    </row>
    <row r="13" spans="1:11">
      <c r="A13" t="s">
        <v>22</v>
      </c>
      <c r="B13" t="s">
        <v>61</v>
      </c>
      <c r="C13" t="s">
        <v>94</v>
      </c>
      <c r="D13" t="s">
        <v>134</v>
      </c>
      <c r="E13" t="s">
        <v>171</v>
      </c>
      <c r="F13" t="s">
        <v>205</v>
      </c>
      <c r="G13" t="s">
        <v>233</v>
      </c>
      <c r="H13" s="2">
        <f>HYPERLINK("https://impresso-project.ch/app/article/indeplux-1922-09-22-a-i0018","indeplux-1922-09-22-a-i0018") | Société des Nations Une note exprimant les vœux de la France sera prés[...] | 1922-09-22 | indeplux; =HYPERLINK("https://impresso-project.ch/app/article/legaulois-1922-09-12-a-i0025","legaulois-1922-09-12-a-i0025") | Réponse de lord Robert Cecil | 1922-09-12 | legaulois; =HYPERLINK("https://impresso-project.ch/app/article/oeuvre-1922-09-14-a-i0036","oeuvre-1922-09-14-a-i0036") | M. LLOYD GEORGE VIENDRA-T-IL A GENÈVE ? | 1922-09-14 | oeuvre; =HYPERLINK("https://impresso-project.ch/app/article/EXP-1922-09-08-a-i0066","EXP-1922-09-08-a-i0066") | POLITIQUE Société des Nations | 1922-09-08 | EXP; =HYPERLINK("https://impresso-project.ch/app/article/oeuvre-1922-10-08-a-i0033","oeuvre-1922-10-08-a-i0033") | Le Dr Nansen organise une mission purement britannique | 1922-10-08 | oeuvre; =HYPERLINK("https://impresso-project.ch/app/article/oeuvre-1922-09-20-a-i0027","oeuvre-1922-09-20-a-i0027") | LE PROBLÈME DES RÉPARATIONS | 1922-09-20 | oeuvre; =HYPERLINK("https://impresso-project.ch/app/article/legaulois-1922-09-23-a-i0032","legaulois-1922-09-23-a-i0032") | A LA SOCIÉTÉ DES MATIONS | 1922-09-23 | legaulois; =HYPERLINK("https://impresso-project.ch/app/article/legaulois-1922-09-01-a-i0016","legaulois-1922-09-01-a-i0016") | Dernière Heure Â la Société des Nations | 1922-09-01 | legaulois; =HYPERLINK("https://impresso-project.ch/app/article/indeplux-1922-09-14-a-i0046","indeplux-1922-09-14-a-i0046") | Un accord intervient entre lord Robert ( ecil et M. de Jouvenel au suj[...] | 1922-09-14 | indeplux; =HYPERLINK("https://impresso-project.ch/app/article/indeplux-1922-09-23-a-i0030","indeplux-1922-09-23-a-i0030") | Le point de vue français sur le désarmement | 1922-09-23 | indeplux; =HYPERLINK("https://impresso-project.ch/app/article/lematin-1922-09-13-a-i0057","lematin-1922-09-13-a-i0057") | La commission adopté le projet de lord Robert Cecil sur le désarmement | 1922-09-13 | lematin; =HYPERLINK("https://impresso-project.ch/app/article/JDG-1922-09-09-a-i0010","JDG-1922-09-09-a-i0010") | LÀ SITUATION | 1922-09-09 | JDG; =HYPERLINK("https://impresso-project.ch/app/article/JDG-1922-09-08-a-i0001","JDG-1922-09-08-a-i0001") | BULLETIN | 1922-09-08 | JDG; =HYPERLINK("https://impresso-project.ch/app/article/legaulois-1922-09-19-a-i0014","legaulois-1922-09-19-a-i0014") | A la Société des Nations | 1922-09-19 | legaulois; =HYPERLINK("https://impresso-project.ch/app/article/legaulois-1922-09-14-a-i0023","legaulois-1922-09-14-a-i0023") | Vers un pacte de garantie | 1922-09-14 | legaulois; =HYPERLINK("https://impresso-project.ch/app/article/legaulois-1922-09-07-a-i0045","legaulois-1922-09-07-a-i0045") | Le Chancelier d'Autriche expose la détresse de son pays | 1922-09-07 | legaulois; =HYPERLINK("https://impresso-project.ch/app/article/lematin-1922-09-23-a-i0037","lematin-1922-09-23-a-i0037") | LaS.D.N. s'occupe du conflit gréco-turc | 1922-09-23 | lematin; =HYPERLINK("https://impresso-project.ch/app/article/lepetitparisien-1922-09-12-a-i0032","lepetitparisien-1922-09-12-a-i0032") | A L'ASSEMBLÉE de la Société des Nations | 1922-09-12 | lepetitparisien; =HYPERLINK("https://impresso-project.ch/app/article/JDG-1922-09-09-a-i0017","JDG-1922-09-09-a-i0017") | M. Sciai oj? | 1922-09-09 | JDG; =HYPERLINK("https://impresso-project.ch/app/article/oeuvre-1922-09-23-a-i0039","oeuvre-1922-09-23-a-i0039") | La question d'Orient | 1922-09-23 | oeuvre; =HYPERLINK("https://impresso-project.ch/app/article/lematin-1922-09-16-a-i0031","lematin-1922-09-16-a-i0031") | La réduction des armements doit dépendre des garanties données par le [...] | 1922-09-16 | lematin; =HYPERLINK("https://impresso-project.ch/app/article/EXP-1922-09-18-a-i0049","EXP-1922-09-18-a-i0049") | 1POLITIQUE&amp;gt;£.i | 1922-09-18 | EXP; =HYPERLINK("https://impresso-project.ch/app/article/IMP-1922-09-12-a-i0002","IMP-1922-09-12-a-i0002") | ba Semaine internationale | 1922-09-12 | IMP; =HYPERLINK("https://impresso-project.ch/app/article/JDG-1922-09-09-a-i0008","JDG-1922-09-09-a-i0008") | t&amp;UrcS | 1922-09-09 | JDG; =HYPERLINK("https://impresso-project.ch/app/article/EXP-1922-10-03-a-i0092","EXP-1922-10-03-a-i0092") | Chronique parlementaire | 1922-10-03 | EXP; =HYPERLINK("https://impresso-project.ch/app/article/indeplux-1922-09-23-a-i0051","indeplux-1922-09-23-a-i0051") | DERNIÈRE HEURE | 1922-09-23 | indeplux; =HYPERLINK("https://impresso-project.ch/app/article/IMP-1922-10-03-a-i0001","IMP-1922-10-03-a-i0001") | L&amp;gt;a Semaine internationale | 1922-10-03 | IMP; =HYPERLINK("https://impresso-project.ch/app/article/lematin-1922-09-17-a-i0038","lematin-1922-09-17-a-i0038") | Un émouvant débat entre le délégué français et le délégué anglais | 1922-09-17 | lematin; =HYPERLINK("https://impresso-project.ch/app/article/oeuvre-1922-10-12-a-i0008","oeuvre-1922-10-12-a-i0008") | M. Lloyd George prépare contre ses détracteurs une grande bataille | 1922-10-12 | oeuvre; =HYPERLINK("https://impresso-project.ch/app/article/JDG-1922-09-01-a-i0001","JDG-1922-09-01-a-i0001") | [Sans titre] | 1922-09-01 | JDG; =HYPERLINK("https://impresso-project.ch/app/article/JDG-1922-09-28-a-i0001","JDG-1922-09-28-a-i0001") | [Sans titre] | 1922-09-28 | JDG; =HYPERLINK("https://impresso-project.ch/app/article/EXP-1922-08-23-a-i0043","EXP-1922-08-23-a-i0043") | POLITIQUE | 1922-08-23 | EXP; =HYPERLINK("https://impresso-project.ch/app/article/legaulois-1922-09-17-a-i0019","legaulois-1922-09-17-a-i0019") | Dernière A LA SOCIÉTÉ DES NATIONS | 1922-09-17 | legaulois; =HYPERLINK("https://impresso-project.ch/app/article/legaulois-1922-09-18-a-i0018","legaulois-1922-09-18-a-i0018") | Dernière Heure AU SOCIÉTÉ DES MATIONS | 1922-09-18 | legaulois; =HYPERLINK("https://impresso-project.ch/app/article/GDL-1922-09-21-a-i0061","GDL-1922-09-21-a-i0061") | La troisième session de la S. d. N. | 1922-09-21 | GDL; =HYPERLINK("https://impresso-project.ch/app/article/GDL-1922-09-14-a-i0059","GDL-1922-09-14-a-i0059") | Chronique de la S. d.N | 1922-09-14 | GDL; =HYPERLINK("https://impresso-project.ch/app/article/EXP-1922-10-06-a-i0093","EXP-1922-10-06-a-i0093") | Après la session | 1922-10-06 | EXP; =HYPERLINK("https://impresso-project.ch/app/article/legaulois-1922-09-08-a-i0034","legaulois-1922-09-08-a-i0034") | A LA SOCIÉTÉ DES KATIONS | 1922-09-08 | legaulois; =HYPERLINK("https://impresso-project.ch/app/article/legaulois-1922-09-12-a-i0024","legaulois-1922-09-12-a-i0024") | A LA SOCIÉTÉ DES NATIONS | 1922-09-12 | legaulois; =HYPERLINK("https://impresso-project.ch/app/article/lematin-1922-09-13-a-i0077","lematin-1922-09-13-a-i0077") | LA PROCHAINE ARRIVÉE DE M. LLOYD GEORGE A GENÈVE | 1922-09-13 | lematin; =HYPERLINK("https://impresso-project.ch/app/article/JDG-1922-09-15-a-i0090","JDG-1922-09-15-a-i0090") | Le plan Cecil et la doctrine d e Monroë | 1922-09-15 | JDG; =HYPERLINK("https://impresso-project.ch/app/article/EXP-1922-09-13-a-i0043","EXP-1922-09-13-a-i0043") | POLITIQUE Société des ffati _ * __§ | 1922-09-13 | EXP; =HYPERLINK("https://impresso-project.ch/app/article/GDL-1922-08-23-a-i0012","GDL-1922-08-23-a-i0012") | S. | 1922-08-23 | GDL; =HYPERLINK("https://impresso-project.ch/app/article/JDG-1922-09-15-a-i0006","JDG-1922-09-15-a-i0006") | BULLETIN | 1922-09-15 | JDG; =HYPERLINK("https://impresso-project.ch/app/article/JDG-1922-10-05-a-i0006","JDG-1922-10-05-a-i0006") | Chronique parlementaire | 1922-10-05 | JDG; =HYPERLINK("https://impresso-project.ch/app/article/JDG-1922-09-22-a-i0010","JDG-1922-09-22-a-i0010") | [Sans titre] | 1922-09-22 | JDG; =HYPERLINK("https://impresso-project.ch/app/article/EXP-1922-09-13-a-i0074","EXP-1922-09-13-a-i0074") | DERNIERES REPÊCHES | 1922-09-13 | EXP; =HYPERLINK("https://impresso-project.ch/app/article/lematin-1922-09-15-a-i0053","lematin-1922-09-15-a-i0053") | Le délégué français propose, comme première mesure de réduire les dépe[...] | 1922-09-15 | lematin; =HYPERLINK("https://impresso-project.ch/app/article/EXP-1922-09-22-a-i0051","EXP-1922-09-22-a-i0051") | Sodttè des nations | 1922-09-22 | EXP; =HYPERLINK("https://impresso-project.ch/app/article/IMP-1922-09-28-a-i0029","IMP-1922-09-28-a-i0029") | Ledésarmement devant l'Assemblée de Genève | 1922-09-28 | IMP; =HYPERLINK("https://impresso-project.ch/app/article/legaulois-1922-09-28-a-i0054","legaulois-1922-09-28-a-i0054") | h la Société des gâtions | 1922-09-28 | legaulois; =HYPERLINK("https://impresso-project.ch/app/article/oeuvre-1922-09-20-a-i0026","oeuvre-1922-09-20-a-i0026") | LE PACTE DE GARANTIE | 1922-09-20 | oeuvre; =HYPERLINK("https://impresso-project.ch/app/article/JDG-1922-09-14-a-i0020","JDG-1922-09-14-a-i0020") | L'attitude de l'Argentine | 1922-09-14 | JDG; =HYPERLINK("https://impresso-project.ch/app/article/JDG-1922-09-20-a-i0090","JDG-1922-09-20-a-i0090") | Société des nations | 1922-09-20 | JDG; =HYPERLINK("https://impresso-project.ch/app/article/JDG-1922-09-23-a-i0002","JDG-1922-09-23-a-i0002") | GENEVE, 22 septembre 1922 TJX.LETIN | 1922-09-23 | JDG; =HYPERLINK("https://impresso-project.ch/app/article/JDG-1922-09-16-a-i0073","JDG-1922-09-16-a-i0073") | 2me EDITION....III Société des nations | 1922-09-16 | JDG; =HYPERLINK("https://impresso-project.ch/app/article/legaulois-1922-09-20-a-i0025","legaulois-1922-09-20-a-i0025") | A LA SOCIÉTÉ DES NATIONS | 1922-09-20 | legaulois; =HYPERLINK("https://impresso-project.ch/app/article/GDL-1922-09-09-a-i0004","GDL-1922-09-09-a-i0004") | La troisième session de la S. d. N. | 1922-09-09 | GDL; =HYPERLINK("https://impresso-project.ch/app/article/lematin-1922-09-14-a-i0050","lematin-1922-09-14-a-i0050") | Le pacte de garantie n'affectera aucunement les traités de paix | 1922-09-14 | lematin; =HYPERLINK("https://impresso-project.ch/app/article/JDG-1922-09-17-a-i0113","JDG-1922-09-17-a-i0113") | gme EDITION ^•.IH.,.1.1.1— i •• - ...M..,,.,— •• '- • IM.-H..MI.III So[...] | 1922-09-17 | JDG; =HYPERLINK("https://impresso-project.ch/app/article/lepetitparisien-1922-09-03-a-i0039","lepetitparisien-1922-09-03-a-i0039") | La troisième assemblée de la Société des nations | 1922-09-03 | lepetitparisien; =HYPERLINK("https://impresso-project.ch/app/article/indeplux-1922-09-14-a-i0043","indeplux-1922-09-14-a-i0043") | La Commission du Désarmement discute la proposition de pacte de garant[...] | 1922-09-14 | indeplux; =HYPERLINK("https://impresso-project.ch/app/article/indeplux-1922-09-28-a-i0039","indeplux-1922-09-28-a-i0039") | Société des Nations La discussion sur la réduction des armements se po[...] | 1922-09-28 | indeplux; =HYPERLINK("https://impresso-project.ch/app/article/lematin-1922-09-27-a-i0030","lematin-1922-09-27-a-i0030") | Quand donc l'humanité "* , » nous apportant le pacte de garantie, dira[...] | 1922-09-27 | lematin; =HYPERLINK("https://impresso-project.ch/app/article/oecaen-1922-09-19-a-i0034","oecaen-1922-09-19-a-i0034") | UN NOUVEAU TEXTE | 1922-09-19 | oecaen; =HYPERLINK("https://impresso-project.ch/app/article/oecaen-1922-09-27-a-i0006","oecaen-1922-09-27-a-i0006") | Les travaux de la Commission du Désarmement devant l'Assemblée | 1922-09-27 | oecaen; =HYPERLINK("https://impresso-project.ch/app/article/JDG-1922-09-13-a-i0002","JDG-1922-09-13-a-i0002") | fc&amp;S | 1922-09-13 | JDG; =HYPERLINK("https://impresso-project.ch/app/article/GDL-1922-09-27-a-i0004","GDL-1922-09-27-a-i0004") | La troisième session aelaJjLd.ll. Dix-septième séance plénière | 1922-09-27 | GDL; =HYPERLINK("https://impresso-project.ch/app/article/legaulois-1922-08-26-a-i0038","legaulois-1922-08-26-a-i0038") | Revue de la Presse | 1922-08-26 | legaulois; =HYPERLINK("https://impresso-project.ch/app/article/EXP-1922-09-06-a-i0059","EXP-1922-09-06-a-i0059") | POLITIQUE Société cS@s Nattons | 1922-09-06 | EXP; =HYPERLINK("https://impresso-project.ch/app/article/lepetitparisien-1922-09-09-a-i0056","lepetitparisien-1922-09-09-a-i0056") | CE QUE LA FRANCE A FAIT pour diminuer ses armements | 1922-09-09 | lepetitparisien; =HYPERLINK("https://impresso-project.ch/app/article/indeplux-1922-08-31-a-i0027","indeplux-1922-08-31-a-i0027") | Une proposition de lord Robert Cecil au sujet du désarmement | 1922-08-31 | indeplux; =HYPERLINK("https://impresso-project.ch/app/article/oeuvre-1922-10-25-a-i0001","oeuvre-1922-10-25-a-i0001") | POUR QUE L'ENTENTE REDEVIENNE CORDIALE : Définissons nos « buts de pai[...] | 1922-10-25 | oeuvre; =HYPERLINK("https://impresso-project.ch/app/article/oeuvre-1922-09-23-a-i0038","oeuvre-1922-09-23-a-i0038") | Un foyer national pour les Arméniens | 1922-09-23 | oeuvre; =HYPERLINK("https://impresso-project.ch/app/article/JDG-1922-09-09-a-i0015","JDG-1922-09-09-a-i0015") | Assemblée de fa Société des nations | 1922-09-09 | JDG; =HYPERLINK("https://impresso-project.ch/app/article/JDG-1922-09-23-a-i0099","JDG-1922-09-23-a-i0099") | TROISIEME EDITION La guerre en Asie Mineure et le problème du proche O[...] | 1922-09-23 | JDG; =HYPERLINK("https://impresso-project.ch/app/article/JDG-1922-09-21-a-i0027","JDG-1922-09-21-a-i0027") | Dans les Commissions | 1922-09-21 | JDG; =HYPERLINK("https://impresso-project.ch/app/article/legaulois-1922-09-13-a-i0021","legaulois-1922-09-13-a-i0021") | A LA SOCIÉTÉ DES NATIONS | 1922-09-13 | legaulois; =HYPERLINK("https://impresso-project.ch/app/article/JDG-1922-09-27-a-i0005","JDG-1922-09-27-a-i0005") | Assemblée de la Société des nations Séance plénière d | 1922-09-27 | JDG; =HYPERLINK("https://impresso-project.ch/app/article/EXP-1922-10-28-a-i0069","EXP-1922-10-28-a-i0069") | COÏÏREÎER FRANÇAIS | 1922-10-28 | EXP; =HYPERLINK("https://impresso-project.ch/app/article/IMP-1922-09-04-a-i0003","IMP-1922-09-04-a-i0003") | Lettre de Genève | 1922-09-04 | IMP; =HYPERLINK("https://impresso-project.ch/app/article/lematin-1922-09-18-a-i0089","lematin-1922-09-18-a-i0089") | L'opinion de lord Robert Ceci! sur l'admission du Reich dans la S. D. [...] | 1922-09-18 | lematin; =HYPERLINK("https://impresso-project.ch/app/article/oecaen-1922-09-18-a-i0016","oecaen-1922-09-18-a-i0016") | Lord Robert Cecfl est partisan de l'admission de l'Allemagne à la SM. | 1922-09-18 | oecaen; =HYPERLINK("https://impresso-project.ch/app/article/indeplux-1922-09-06-a-i0012","indeplux-1922-09-06-a-i0012") | L’Assemblée de la S. d. N. | 1922-09-06 | indeplux; =HYPERLINK("https://impresso-project.ch/app/article/lematin-1922-09-01-a-i0002","lematin-1922-09-01-a-i0002") | M. Lloyd George ira-t-il à Genève? | 1922-09-01 | lematin; =HYPERLINK("https://impresso-project.ch/app/article/oeuvre-1922-09-21-a-i0038","oeuvre-1922-09-21-a-i0038") | Comment la Belgique négociera les bons allemands | 1922-09-21 | oeuvre; =HYPERLINK("https://impresso-project.ch/app/article/lepetitparisien-1922-10-01-a-i0025","lepetitparisien-1922-10-01-a-i0025") | LA SOCIÉTÉ DES NATIONS a clos hier ses travaux | 1922-10-01 | lepetitparisien; =HYPERLINK("https://impresso-project.ch/app/article/indeplux-1922-09-04-a-i0008","indeplux-1922-09-04-a-i0008") | La Commission approuve le projet de lord Robert Cecil sur le desarmeme[...] | 1922-09-04 | indeplux; =HYPERLINK("https://impresso-project.ch/app/article/legaulois-1922-09-16-a-i0021","legaulois-1922-09-16-a-i0021") | SHAKESPEARE Fils de la Reine Elisabeth | 1922-09-16 | legaulois; =HYPERLINK("https://impresso-project.ch/app/article/JDG-1922-09-23-a-i0004","JDG-1922-09-23-a-i0004") | L'Allemagne et ia Société des nations | 1922-09-23 | JDG; =HYPERLINK("https://impresso-project.ch/app/article/IMP-1922-09-26-a-i0002","IMP-1922-09-26-a-i0002") | ba Semaine internationale | 1922-09-26 | IMP; =HYPERLINK("https://impresso-project.ch/app/article/legaulois-1922-08-04-a-i0062","legaulois-1922-08-04-a-i0062") | Le débat à la Chambre des Communes | 1922-08-04 | legaulois; =HYPERLINK("https://impresso-project.ch/app/article/GDL-1922-09-08-a-i0006","GDL-1922-09-08-a-i0006") | La troisième session de la S. d. N. | 1922-09-08 | GDL; =HYPERLINK("https://impresso-project.ch/app/article/EXP-1922-09-14-a-i0094","EXP-1922-09-14-a-i0094") | \. POLITIQUE Société des nations | 1922-09-14 | EXP; =HYPERLINK("https://impresso-project.ch/app/article/indeplux-1922-09-07-a-i0028","indeplux-1922-09-07-a-i0028") | Un discours de lord Robert Cecil | 1922-09-07 | indeplux; =HYPERLINK("https://impresso-project.ch/app/article/legaulois-1922-09-15-a-i0026","legaulois-1922-09-15-a-i0026") | Les Journaux du matin | 1922-09-15 | legaulois; =HYPERLINK("https://impresso-project.ch/app/article/legaulois-1922-09-21-a-i0035","legaulois-1922-09-21-a-i0035") | Les Journaux du matin | 1922-09-21 | legaulois; =HYPERLINK("https://impresso-project.ch/app/article/GDL-1922-09-18-a-i0060","GDL-1922-09-18-a-i0060") | 9a fia Ni | 1922-09-18 | GDL; =HYPERLINK("https://impresso-project.ch/app/article/lematin-1922-09-20-a-i0041","lematin-1922-09-20-a-i0041") | M. de Jouvenel fait, an nom de la délégation française ' I' .. v" une [...] | 1922-09-20 | lematin; =HYPERLINK("https://impresso-project.ch/app/article/lematin-1922-10-20-a-i0051","lematin-1922-10-20-a-i0051") | LES GRANDS RETOURS | 1922-10-20 | lematin; =HYPERLINK("https://impresso-project.ch/app/article/IMP-1922-09-09-a-i0026","IMP-1922-09-09-a-i0026") | Lettre de Genève | 1922-09-09 | IMP; =HYPERLINK("https://impresso-project.ch/app/article/IMP-1922-09-20-a-i0001","IMP-1922-09-20-a-i0001") | ba Semaine internationale | 1922-09-20 | IMP; =HYPERLINK("https://impresso-project.ch/app/article/JDG-1922-09-09-a-i0027","JDG-1922-09-09-a-i0027") | En marge de l'Assemblée Réceptio n officiell e | 1922-09-09 | JDG; =HYPERLINK("https://impresso-project.ch/app/article/JDG-1922-09-15-a-i0083","JDG-1922-09-15-a-i0083") | La guerre en Anatolie et le problème du proche Orient | 1922-09-15 | JDG; =HYPERLINK("https://impresso-project.ch/app/article/lematin-1922-09-06-a-i0071","lematin-1922-09-06-a-i0071") | L'assemblée de Genève nomme ses commissions | 1922-09-06 | lematin</f>
        <v>0</v>
      </c>
      <c r="I13" t="s">
        <v>250</v>
      </c>
      <c r="J13" t="s">
        <v>260</v>
      </c>
      <c r="K13" t="s">
        <v>262</v>
      </c>
    </row>
    <row r="14" spans="1:11">
      <c r="A14" t="s">
        <v>23</v>
      </c>
      <c r="B14" t="s">
        <v>62</v>
      </c>
      <c r="C14" t="s">
        <v>95</v>
      </c>
      <c r="D14" t="s">
        <v>135</v>
      </c>
      <c r="E14" t="s">
        <v>172</v>
      </c>
      <c r="F14" t="s">
        <v>206</v>
      </c>
      <c r="G14" t="s">
        <v>237</v>
      </c>
      <c r="H14" s="2">
        <f>HYPERLINK("https://impresso-project.ch/app/article/legaulois-1922-10-28-a-i0013","legaulois-1922-10-28-a-i0013") | NÉCROLOGIE | 1922-10-28 | legaulois; =HYPERLINK("https://impresso-project.ch/app/article/oecaen-1922-09-26-a-i0049","oecaen-1922-09-26-a-i0049") | TRIBUNAL CORRECTIONNEL | 1922-09-26 | oecaen; =HYPERLINK("https://impresso-project.ch/app/article/lepetitparisien-1922-08-22-a-i0053","lepetitparisien-1922-08-22-a-i0053") | LECONORÈS UNIVERSEL D'ESPERANTO | 1922-08-22 | lepetitparisien; =HYPERLINK("https://impresso-project.ch/app/article/lematin-1922-08-08-a-i0074","lematin-1922-08-08-a-i0074") | NOUVELLES EN TROIS LIGNES | 1922-08-08 | lematin; =HYPERLINK("https://impresso-project.ch/app/article/oecaen-1922-08-06-a-i0080","oecaen-1922-08-06-a-i0080") | I !MJbv3 | 1922-08-06 | oecaen</f>
        <v>0</v>
      </c>
      <c r="I14" t="s">
        <v>247</v>
      </c>
      <c r="J14" t="s">
        <v>260</v>
      </c>
      <c r="K14" t="s">
        <v>263</v>
      </c>
    </row>
    <row r="15" spans="1:11">
      <c r="A15" t="s">
        <v>24</v>
      </c>
      <c r="B15" t="s">
        <v>63</v>
      </c>
      <c r="C15" t="s">
        <v>96</v>
      </c>
      <c r="D15" t="s">
        <v>136</v>
      </c>
      <c r="E15" t="s">
        <v>173</v>
      </c>
      <c r="F15" t="s">
        <v>207</v>
      </c>
      <c r="G15" t="s">
        <v>233</v>
      </c>
      <c r="H15" s="2"/>
      <c r="I15" t="s">
        <v>247</v>
      </c>
      <c r="J15" t="s">
        <v>260</v>
      </c>
      <c r="K15" t="s">
        <v>262</v>
      </c>
    </row>
    <row r="16" spans="1:11">
      <c r="A16" t="s">
        <v>25</v>
      </c>
      <c r="B16" t="s">
        <v>64</v>
      </c>
      <c r="C16" t="s">
        <v>97</v>
      </c>
      <c r="D16" t="s">
        <v>137</v>
      </c>
      <c r="E16" t="s">
        <v>174</v>
      </c>
      <c r="F16" t="s">
        <v>208</v>
      </c>
      <c r="G16" t="s">
        <v>233</v>
      </c>
      <c r="H16" s="2"/>
      <c r="I16" t="s">
        <v>253</v>
      </c>
      <c r="J16" t="s">
        <v>260</v>
      </c>
      <c r="K16" t="s">
        <v>262</v>
      </c>
    </row>
    <row r="17" spans="1:11">
      <c r="A17" t="s">
        <v>26</v>
      </c>
      <c r="B17" t="s">
        <v>65</v>
      </c>
      <c r="C17" t="s">
        <v>98</v>
      </c>
      <c r="D17" t="s">
        <v>138</v>
      </c>
      <c r="E17" t="s">
        <v>175</v>
      </c>
      <c r="F17" t="s">
        <v>209</v>
      </c>
      <c r="G17" t="s">
        <v>233</v>
      </c>
      <c r="H17" s="2">
        <f>HYPERLINK("https://impresso-project.ch/app/article/indeplux-1922-08-03-a-i0038","indeplux-1922-08-03-a-i0038") | ITALIE La constitution définitive du ministère Facta | 1922-08-03 | indeplux; =HYPERLINK("https://impresso-project.ch/app/article/GDL-1922-08-02-a-i0013","GDL-1922-08-02-a-i0013") | Les consultations de M. Facta | 1922-08-02 | GDL; =HYPERLINK("https://impresso-project.ch/app/article/luxwort-1922-08-03-a-i0001","luxwort-1922-08-03-a-i0001") | Zur Kabinettsumbildung in Italien. | 1922-08-03 | luxwort; =HYPERLINK("https://impresso-project.ch/app/article/NZZ-1922-08-01-b-i0006","NZZ-1922-08-01-b-i0006") | [Sans titre] | 1922-08-01 | NZZ; =HYPERLINK("https://impresso-project.ch/app/article/NZZ-1922-10-18-a-i0002","NZZ-1922-10-18-a-i0002") | [Sans titre] | 1922-10-18 | NZZ</f>
        <v>0</v>
      </c>
      <c r="I17" t="s">
        <v>254</v>
      </c>
      <c r="J17" t="s">
        <v>260</v>
      </c>
      <c r="K17" t="s">
        <v>262</v>
      </c>
    </row>
    <row r="18" spans="1:11">
      <c r="A18" t="s">
        <v>27</v>
      </c>
      <c r="B18" t="s">
        <v>66</v>
      </c>
      <c r="C18" t="s">
        <v>99</v>
      </c>
      <c r="D18" t="s">
        <v>139</v>
      </c>
      <c r="E18" t="s">
        <v>176</v>
      </c>
      <c r="F18" t="s">
        <v>210</v>
      </c>
      <c r="G18" t="s">
        <v>233</v>
      </c>
      <c r="H18" s="2"/>
      <c r="I18" t="s">
        <v>58</v>
      </c>
      <c r="J18" t="s">
        <v>260</v>
      </c>
      <c r="K18" t="s">
        <v>262</v>
      </c>
    </row>
    <row r="19" spans="1:11">
      <c r="A19" t="s">
        <v>28</v>
      </c>
      <c r="B19" t="s">
        <v>67</v>
      </c>
      <c r="C19" t="s">
        <v>100</v>
      </c>
      <c r="D19" t="s">
        <v>140</v>
      </c>
      <c r="E19" t="s">
        <v>177</v>
      </c>
      <c r="F19" t="s">
        <v>211</v>
      </c>
      <c r="G19" t="s">
        <v>238</v>
      </c>
      <c r="H19" s="2"/>
      <c r="I19" t="s">
        <v>247</v>
      </c>
      <c r="J19" t="s">
        <v>260</v>
      </c>
      <c r="K19" t="s">
        <v>262</v>
      </c>
    </row>
    <row r="20" spans="1:11">
      <c r="A20" t="s">
        <v>29</v>
      </c>
      <c r="B20" t="s">
        <v>68</v>
      </c>
      <c r="C20" t="s">
        <v>101</v>
      </c>
      <c r="D20" t="s">
        <v>141</v>
      </c>
      <c r="E20" t="s">
        <v>178</v>
      </c>
      <c r="F20" t="s">
        <v>212</v>
      </c>
      <c r="H20" s="2"/>
      <c r="I20" t="s">
        <v>252</v>
      </c>
      <c r="J20" t="s">
        <v>260</v>
      </c>
      <c r="K20" t="s">
        <v>263</v>
      </c>
    </row>
    <row r="21" spans="1:11">
      <c r="A21" t="s">
        <v>30</v>
      </c>
      <c r="B21" t="s">
        <v>58</v>
      </c>
      <c r="C21" t="s">
        <v>102</v>
      </c>
      <c r="D21" t="s">
        <v>142</v>
      </c>
      <c r="F21" t="s">
        <v>213</v>
      </c>
      <c r="G21" t="s">
        <v>233</v>
      </c>
      <c r="H21" s="2">
        <f>HYPERLINK("https://impresso-project.ch/app/article/JDG-1922-10-09-a-i0021","JDG-1922-10-09-a-i0021") | Société des Nations | 1922-10-09 | JDG</f>
        <v>0</v>
      </c>
      <c r="I21" t="s">
        <v>255</v>
      </c>
      <c r="J21" t="s">
        <v>260</v>
      </c>
      <c r="K21" t="s">
        <v>262</v>
      </c>
    </row>
    <row r="22" spans="1:11">
      <c r="A22" t="s">
        <v>31</v>
      </c>
      <c r="B22" t="s">
        <v>69</v>
      </c>
      <c r="C22" t="s">
        <v>103</v>
      </c>
      <c r="D22" t="s">
        <v>143</v>
      </c>
      <c r="E22" t="s">
        <v>179</v>
      </c>
      <c r="F22" t="s">
        <v>214</v>
      </c>
      <c r="H22" s="2"/>
      <c r="I22" t="s">
        <v>249</v>
      </c>
      <c r="J22" t="s">
        <v>260</v>
      </c>
      <c r="K22" t="s">
        <v>263</v>
      </c>
    </row>
    <row r="23" spans="1:11">
      <c r="A23" t="s">
        <v>32</v>
      </c>
      <c r="B23" t="s">
        <v>70</v>
      </c>
      <c r="C23" t="s">
        <v>104</v>
      </c>
      <c r="D23" t="s">
        <v>144</v>
      </c>
      <c r="E23" t="s">
        <v>180</v>
      </c>
      <c r="F23" t="s">
        <v>215</v>
      </c>
      <c r="H23" s="2"/>
      <c r="I23" t="s">
        <v>250</v>
      </c>
      <c r="J23" t="s">
        <v>260</v>
      </c>
      <c r="K23" t="s">
        <v>263</v>
      </c>
    </row>
    <row r="24" spans="1:11">
      <c r="A24" t="s">
        <v>33</v>
      </c>
      <c r="B24" t="s">
        <v>71</v>
      </c>
      <c r="C24" t="s">
        <v>105</v>
      </c>
      <c r="D24" t="s">
        <v>145</v>
      </c>
      <c r="E24" t="s">
        <v>181</v>
      </c>
      <c r="F24" t="s">
        <v>216</v>
      </c>
      <c r="H24" s="2"/>
      <c r="I24" t="s">
        <v>58</v>
      </c>
      <c r="J24" t="s">
        <v>261</v>
      </c>
      <c r="K24" t="s">
        <v>263</v>
      </c>
    </row>
    <row r="25" spans="1:11">
      <c r="A25" t="s">
        <v>34</v>
      </c>
      <c r="B25" t="s">
        <v>72</v>
      </c>
      <c r="C25" t="s">
        <v>106</v>
      </c>
      <c r="D25" t="s">
        <v>146</v>
      </c>
      <c r="E25" t="s">
        <v>182</v>
      </c>
      <c r="F25" t="s">
        <v>217</v>
      </c>
      <c r="G25" t="s">
        <v>239</v>
      </c>
      <c r="H25" s="2"/>
      <c r="I25" t="s">
        <v>249</v>
      </c>
      <c r="J25" t="s">
        <v>260</v>
      </c>
      <c r="K25" t="s">
        <v>263</v>
      </c>
    </row>
    <row r="26" spans="1:11">
      <c r="A26" t="s">
        <v>35</v>
      </c>
      <c r="B26" t="s">
        <v>73</v>
      </c>
      <c r="C26" t="s">
        <v>107</v>
      </c>
      <c r="D26" t="s">
        <v>147</v>
      </c>
      <c r="E26" t="s">
        <v>183</v>
      </c>
      <c r="H26" s="2"/>
      <c r="I26" t="s">
        <v>58</v>
      </c>
      <c r="J26" t="s">
        <v>261</v>
      </c>
      <c r="K26" t="s">
        <v>262</v>
      </c>
    </row>
    <row r="27" spans="1:11">
      <c r="A27" t="s">
        <v>36</v>
      </c>
      <c r="B27" t="s">
        <v>74</v>
      </c>
      <c r="C27" t="s">
        <v>108</v>
      </c>
      <c r="D27" t="s">
        <v>148</v>
      </c>
      <c r="E27" t="s">
        <v>184</v>
      </c>
      <c r="F27" t="s">
        <v>218</v>
      </c>
      <c r="G27" t="s">
        <v>233</v>
      </c>
      <c r="H27" s="2"/>
      <c r="I27" t="s">
        <v>249</v>
      </c>
      <c r="J27" t="s">
        <v>260</v>
      </c>
      <c r="K27" t="s">
        <v>262</v>
      </c>
    </row>
    <row r="28" spans="1:11">
      <c r="A28" t="s">
        <v>37</v>
      </c>
      <c r="B28" t="s">
        <v>75</v>
      </c>
      <c r="C28" t="s">
        <v>109</v>
      </c>
      <c r="D28" t="s">
        <v>149</v>
      </c>
      <c r="F28" t="s">
        <v>219</v>
      </c>
      <c r="G28" t="s">
        <v>235</v>
      </c>
      <c r="H28" s="2">
        <f>HYPERLINK("https://impresso-project.ch/app/article/LES-1922-08-05-a-i0020","LES-1922-08-05-a-i0020") | Encore si cette revue dépassait par la r... | 1922-08-05 | LES; =HYPERLINK("https://impresso-project.ch/app/article/JDG-1922-09-16-a-i0036","JDG-1922-09-16-a-i0036") | A propos du droit d'auteur | 1922-09-16 | JDG; =HYPERLINK("https://impresso-project.ch/app/article/LCE-1922-09-11-a-i0010","LCE-1922-09-11-a-i0010") | En Suisse Cordages en loysoeoresTravai. Soi C. Kissimg. cordier, Ullle[...] | 1922-09-11 | LCE; =HYPERLINK("https://impresso-project.ch/app/article/GDL-1922-09-08-a-i0018","GDL-1922-09-08-a-i0018") | CONFÉDÉRATION | 1922-09-08 | GDL; =HYPERLINK("https://impresso-project.ch/app/article/NZZ-1922-09-11-b-i0021","NZZ-1922-09-11-b-i0021") | [Sans titre] | 1922-09-11 | NZZ; =HYPERLINK("https://impresso-project.ch/app/article/NZZ-1922-10-05-a-i0001","NZZ-1922-10-05-a-i0001") | [Sans titre] | 1922-10-05 | NZZ; =HYPERLINK("https://impresso-project.ch/app/article/LLE-1922-09-04-a-i0019","LLE-1922-09-04-a-i0019") | Les réformes constitutionnelles au Tessi... | 1922-09-04 | LLE; =HYPERLINK("https://impresso-project.ch/app/article/FZG-1922-08-26-a-i0017","FZG-1922-08-26-a-i0017") | Schweiz | 1922-08-26 | FZG</f>
        <v>0</v>
      </c>
      <c r="I28" t="s">
        <v>244</v>
      </c>
      <c r="J28" t="s">
        <v>260</v>
      </c>
      <c r="K28" t="s">
        <v>262</v>
      </c>
    </row>
    <row r="29" spans="1:11">
      <c r="A29" t="s">
        <v>38</v>
      </c>
      <c r="B29" t="s">
        <v>76</v>
      </c>
      <c r="C29" t="s">
        <v>110</v>
      </c>
      <c r="D29" t="s">
        <v>150</v>
      </c>
      <c r="E29" t="s">
        <v>185</v>
      </c>
      <c r="F29" t="s">
        <v>220</v>
      </c>
      <c r="G29" t="s">
        <v>240</v>
      </c>
      <c r="H29" s="2">
        <f>HYPERLINK("https://impresso-project.ch/app/article/JDG-1922-08-26-a-i0095","JDG-1922-08-26-a-i0095") | Nos hôtes | 1922-08-26 | JDG; =HYPERLINK("https://impresso-project.ch/app/article/lematin-1922-08-06-a-i0076","lematin-1922-08-06-a-i0076") | Le président de la Confédération helvétique h la Société des nations | 1922-08-06 | lematin; =HYPERLINK("https://impresso-project.ch/app/article/lematin-1922-09-14-a-i0051","lematin-1922-09-14-a-i0051") | La coopération intellectuelle | 1922-09-14 | lematin; =HYPERLINK("https://impresso-project.ch/app/article/legaulois-1922-09-30-a-i0037","legaulois-1922-09-30-a-i0037") | Dernière Heure A LA SOCIÉTÉ DES NATIONS | 1922-09-30 | legaulois; =HYPERLINK("https://impresso-project.ch/app/article/legaulois-1922-09-14-a-i0018","legaulois-1922-09-14-a-i0018") | A LA SOCIÉTÉ DES NATIONS | 1922-09-14 | legaulois; =HYPERLINK("https://impresso-project.ch/app/article/legaulois-1922-09-23-a-i0028","legaulois-1922-09-23-a-i0028") | EiteSas lirai» | 1922-09-23 | legaulois; =HYPERLINK("https://impresso-project.ch/app/article/EXP-1922-09-14-a-i0100","EXP-1922-09-14-a-i0100") | DERNIERES DEPECHES | 1922-09-14 | EXP; =HYPERLINK("https://impresso-project.ch/app/article/indeplux-1922-08-29-a-i0081","indeplux-1922-08-29-a-i0081") | Les Fêtes d’Arlon | 1922-08-29 | indeplux; =HYPERLINK("https://impresso-project.ch/app/article/legaulois-1922-09-29-a-i0025","legaulois-1922-09-29-a-i0025") | A LA SOCIÉTÉ DES HATIONS | 1922-09-29 | legaulois; =HYPERLINK("https://impresso-project.ch/app/article/GDL-1922-08-28-a-i0055","GDL-1922-08-28-a-i0055") | LES LIVRES | 1922-08-28 | GDL; =HYPERLINK("https://impresso-project.ch/app/article/legaulois-1922-08-28-a-i0005","legaulois-1922-08-28-a-i0005") | DANS LES CERCLES | 1922-08-28 | legaulois; =HYPERLINK("https://impresso-project.ch/app/article/oeuvre-1922-08-04-a-i0025","oeuvre-1922-08-04-a-i0025") | La défense des "humanités" | 1922-08-04 | oeuvre; =HYPERLINK("https://impresso-project.ch/app/article/GDL-1922-08-09-a-i0014","GDL-1922-08-09-a-i0014") | S. d. | 1922-08-09 | GDL; =HYPERLINK("https://impresso-project.ch/app/article/JDG-1922-08-07-a-i0003","JDG-1922-08-07-a-i0003") | Influence de l'habitude | 1922-08-07 | JDG; =HYPERLINK("https://impresso-project.ch/app/article/JDG-1922-09-05-a-i0003","JDG-1922-09-05-a-i0003") | Lettre de Paris | 1922-09-05 | JDG; =HYPERLINK("https://impresso-project.ch/app/article/legaulois-1922-10-06-a-i0056","legaulois-1922-10-06-a-i0056") | Les Échos | 1922-10-06 | legaulois; =HYPERLINK("https://impresso-project.ch/app/article/GDL-1922-09-16-a-i0067","GDL-1922-09-16-a-i0067") | Chronique de la S. d. N | 1922-09-16 | GDL; =HYPERLINK("https://impresso-project.ch/app/article/JDG-1922-08-14-a-i0006","JDG-1922-08-14-a-i0006") | A propos du paradoxe d'Einstein | 1922-08-14 | JDG; =HYPERLINK("https://impresso-project.ch/app/article/JDG-1922-09-15-a-i0024","JDG-1922-09-15-a-i0024") | Séance plénière | 1922-09-15 | JDG; =HYPERLINK("https://impresso-project.ch/app/article/oeuvre-1922-08-16-a-i0067","oeuvre-1922-08-16-a-i0067") | La Vie philosophique : Durée et simultanéité. A propos de la théorie d[...] | 1922-08-16 | oeuvre; =HYPERLINK("https://impresso-project.ch/app/article/legaulois-1922-08-06-a-i0008","legaulois-1922-08-06-a-i0008") | PETIT CARNET | 1922-08-06 | legaulois; =HYPERLINK("https://impresso-project.ch/app/article/JDG-1922-09-16-a-i0020","JDG-1922-09-16-a-i0020") | Dans les Commissions | 1922-09-16 | JDG; =HYPERLINK("https://impresso-project.ch/app/article/EXP-1922-08-24-a-i0013","EXP-1922-08-24-a-i0013") | [Sans titre] | 1922-08-24 | EXP; =HYPERLINK("https://impresso-project.ch/app/article/lepetitparisien-1922-08-04-a-i0056","lepetitparisien-1922-08-04-a-i0056") | LE DONJON DE VINCENNES SEfHUWL TRANSFORME EN BIBLIOTHÈQUE INTERNATIONA[...] | 1922-08-04 | lepetitparisien; =HYPERLINK("https://impresso-project.ch/app/article/legaulois-1922-10-26-a-i0051","legaulois-1922-10-26-a-i0051") | Les Cinq Académies | 1922-10-26 | legaulois; =HYPERLINK("https://impresso-project.ch/app/article/IMP-1922-08-26-a-i0023","IMP-1922-08-26-a-i0023") | Chronique suisse | 1922-08-26 | IMP; =HYPERLINK("https://impresso-project.ch/app/article/lepetitparisien-1922-08-01-a-i0029","lepetitparisien-1922-08-01-a-i0029") | LE COMITÉ DE COOPÉRATION INTELLECTUELLE SE RÉUNIT AUJOURD'HUI A GENÈVE | 1922-08-01 | lepetitparisien; =HYPERLINK("https://impresso-project.ch/app/article/legaulois-1922-10-13-a-i0034","legaulois-1922-10-13-a-i0034") | Les Échos | 1922-10-13 | legaulois; =HYPERLINK("https://impresso-project.ch/app/article/legaulois-1922-08-04-a-i0023","legaulois-1922-08-04-a-i0023") | Les Échos | 1922-08-04 | legaulois; =HYPERLINK("https://impresso-project.ch/app/article/legaulois-1922-09-30-a-i0011","legaulois-1922-09-30-a-i0011") | PETIT CARNET | 1922-09-30 | legaulois; =HYPERLINK("https://impresso-project.ch/app/article/GDL-1922-09-14-a-i0048","GDL-1922-09-14-a-i0048") | [Sans titre] | 1922-09-14 | GDL; =HYPERLINK("https://impresso-project.ch/app/article/GDL-1922-09-15-a-i0073","GDL-1922-09-15-a-i0073") | Chronique de la S. d. N. | 1922-09-15 | GDL; =HYPERLINK("https://impresso-project.ch/app/article/EXP-1922-08-08-a-i0046","EXP-1922-08-08-a-i0046") | Coopération intellectuelle | 1922-08-08 | EXP; =HYPERLINK("https://impresso-project.ch/app/article/GDL-1922-08-02-a-i0002","GDL-1922-08-02-a-i0002") | Deux commissions de premier plan | 1922-08-02 | GDL; =HYPERLINK("https://impresso-project.ch/app/article/legaulois-1922-08-19-a-i0025","legaulois-1922-08-19-a-i0025") | LES LIVRES DU JOUR | 1922-08-19 | legaulois; =HYPERLINK("https://impresso-project.ch/app/article/JDG-1922-09-14-a-i0095","JDG-1922-09-14-a-i0095") | Société des nations XXme session du Conseil | 1922-09-14 | JDG; =HYPERLINK("https://impresso-project.ch/app/article/oeuvre-1922-09-14-a-i0034","oeuvre-1922-09-14-a-i0034") | UN RAPPORT DE M. BERGSON | 1922-09-14 | oeuvre; =HYPERLINK("https://impresso-project.ch/app/article/EXP-1922-08-10-a-i0021","EXP-1922-08-10-a-i0021") | [Sans titre] | 1922-08-10 | EXP; =HYPERLINK("https://impresso-project.ch/app/article/legaulois-1922-08-26-a-i0025","legaulois-1922-08-26-a-i0025") | LES LIVRES DU JOUR | 1922-08-26 | legaulois; =HYPERLINK("https://impresso-project.ch/app/article/oeuvre-1922-10-06-a-i0016","oeuvre-1922-10-06-a-i0016") | Les mots en suspens | 1922-10-06 | oeuvre; =HYPERLINK("https://impresso-project.ch/app/article/obermosel-1922-08-10-a-i0029","obermosel-1922-08-10-a-i0029") | Organisierung der internation. geistigen Arbeit. | 1922-08-10 | obermosel; =HYPERLINK("https://impresso-project.ch/app/article/lepetitparisien-1922-09-14-a-i0026","lepetitparisien-1922-09-14-a-i0026") | LA QUESTION DU PACTE DE GARANTIE | 1922-09-14 | lepetitparisien; =HYPERLINK("https://impresso-project.ch/app/article/oeuvre-1922-09-16-a-i0035","oeuvre-1922-09-16-a-i0035") | LA COOPÉRATION INTELLECTUELLE | 1922-09-16 | oeuvre; =HYPERLINK("https://impresso-project.ch/app/article/LLE-1922-08-02-a-i0006","LLE-1922-08-02-a-i0006") | Deux trains allant à Lourdes se tamponne... | 1922-08-02 | LLE; =HYPERLINK("https://impresso-project.ch/app/article/lematin-1922-08-02-a-i0051","lematin-1922-08-02-a-i0051") | NOUVELLES EN TROIS LIGNES | 1922-08-02 | lematin; =HYPERLINK("https://impresso-project.ch/app/article/GDL-1922-08-06-a-i0074","GDL-1922-08-06-a-i0074") | Sa £•• | 1922-08-06 | GDL; =HYPERLINK("https://impresso-project.ch/app/article/oeuvre-1922-08-02-a-i0085","oeuvre-1922-08-02-a-i0085") | La Vie philosophique | 1922-08-02 | oeuvre; =HYPERLINK("https://impresso-project.ch/app/article/GDL-1922-08-26-a-i0026","GDL-1922-08-26-a-i0026") | CANTON DE VAUD | 1922-08-26 | GDL; =HYPERLINK("https://impresso-project.ch/app/article/NZZ-1922-09-14-b-i0001","NZZ-1922-09-14-b-i0001") | [Sans titre] | 1922-09-14 | NZZ; =HYPERLINK("https://impresso-project.ch/app/article/LLE-1922-09-16-a-i0090","LLE-1922-09-16-a-i0090") | SOCIETE DES NATIONS | 1922-09-16 | LLE; =HYPERLINK("https://impresso-project.ch/app/article/LLE-1922-08-26-a-i0101","LLE-1922-08-26-a-i0101") | Confédération | 1922-08-26 | LLE; =HYPERLINK("https://impresso-project.ch/app/article/NZZ-1922-08-07-b-i0002","NZZ-1922-08-07-b-i0002") | [Sans titre] | 1922-08-07 | NZZ; =HYPERLINK("https://impresso-project.ch/app/article/NZZ-1922-10-19-b-i0001","NZZ-1922-10-19-b-i0001") | [Sans titre] | 1922-10-19 | NZZ; =HYPERLINK("https://impresso-project.ch/app/article/LSE-1922-09-22-a-i0001","LSE-1922-09-22-a-i0001") | Quotidien socialiste | 1922-09-22 | LSE; =HYPERLINK("https://impresso-project.ch/app/article/JDG-1922-08-06-a-i0040","JDG-1922-08-06-a-i0040") | [Sans titre] | 1922-08-06 | JDG; =HYPERLINK("https://impresso-project.ch/app/article/tageblatt-1922-09-15-a-i0010","tageblatt-1922-09-15-a-i0010") | Vom Völkerbund.  Nie intellektuelle Arbeit und der Völkerbund. | 1922-09-15 | tageblatt; =HYPERLINK("https://impresso-project.ch/app/article/NZZ-1922-08-01-b-i0002","NZZ-1922-08-01-b-i0002") | [Sans titre] | 1922-08-01 | NZZ; =HYPERLINK("https://impresso-project.ch/app/article/GDL-1922-08-01-a-i0064","GDL-1922-08-01-a-i0064") | S.d. N | 1922-08-01 | GDL; =HYPERLINK("https://impresso-project.ch/app/article/NZZ-1922-09-14-b-i0002","NZZ-1922-09-14-b-i0002") | [Sans titre] | 1922-09-14 | NZZ; =HYPERLINK("https://impresso-project.ch/app/article/NZZ-1922-08-08-a-i0002","NZZ-1922-08-08-a-i0002") | [Sans titre] | 1922-08-08 | NZZ; =HYPERLINK("https://impresso-project.ch/app/article/LLE-1922-08-09-a-i0007","LLE-1922-08-09-a-i0007") | Le comité de coopération Intellectuelle | 1922-08-09 | LLE; =HYPERLINK("https://impresso-project.ch/app/article/NZZ-1922-08-05-b-i0002","NZZ-1922-08-05-b-i0002") | [Sans titre] | 1922-08-05 | NZZ</f>
        <v>0</v>
      </c>
      <c r="I29" t="s">
        <v>247</v>
      </c>
      <c r="J29" t="s">
        <v>260</v>
      </c>
      <c r="K29" t="s">
        <v>262</v>
      </c>
    </row>
    <row r="30" spans="1:11">
      <c r="A30" t="s">
        <v>39</v>
      </c>
      <c r="B30" t="s">
        <v>77</v>
      </c>
      <c r="C30" t="s">
        <v>111</v>
      </c>
      <c r="D30" t="s">
        <v>151</v>
      </c>
      <c r="E30" t="s">
        <v>186</v>
      </c>
      <c r="F30" t="s">
        <v>221</v>
      </c>
      <c r="H30" s="2"/>
      <c r="I30" t="s">
        <v>249</v>
      </c>
      <c r="J30" t="s">
        <v>260</v>
      </c>
      <c r="K30" t="s">
        <v>263</v>
      </c>
    </row>
    <row r="31" spans="1:11">
      <c r="A31" t="s">
        <v>40</v>
      </c>
      <c r="B31" t="s">
        <v>63</v>
      </c>
      <c r="C31" t="s">
        <v>112</v>
      </c>
      <c r="D31" t="s">
        <v>152</v>
      </c>
      <c r="E31" t="s">
        <v>187</v>
      </c>
      <c r="F31" t="s">
        <v>222</v>
      </c>
      <c r="G31" t="s">
        <v>241</v>
      </c>
      <c r="H31" s="2"/>
      <c r="I31" t="s">
        <v>247</v>
      </c>
      <c r="J31" t="s">
        <v>260</v>
      </c>
      <c r="K31" t="s">
        <v>263</v>
      </c>
    </row>
    <row r="32" spans="1:11">
      <c r="A32" t="s">
        <v>41</v>
      </c>
      <c r="B32" t="s">
        <v>78</v>
      </c>
      <c r="C32" t="s">
        <v>113</v>
      </c>
      <c r="D32" t="s">
        <v>153</v>
      </c>
      <c r="E32" t="s">
        <v>188</v>
      </c>
      <c r="F32" t="s">
        <v>223</v>
      </c>
      <c r="H32" s="2"/>
      <c r="I32" t="s">
        <v>58</v>
      </c>
      <c r="J32" t="s">
        <v>261</v>
      </c>
      <c r="K32" t="s">
        <v>263</v>
      </c>
    </row>
    <row r="33" spans="1:11">
      <c r="A33" t="s">
        <v>42</v>
      </c>
      <c r="B33" t="s">
        <v>58</v>
      </c>
      <c r="C33" t="s">
        <v>114</v>
      </c>
      <c r="D33" t="s">
        <v>154</v>
      </c>
      <c r="F33" t="s">
        <v>224</v>
      </c>
      <c r="G33" t="s">
        <v>233</v>
      </c>
      <c r="H33" s="2">
        <f>HYPERLINK("https://impresso-project.ch/app/article/oeuvre-1922-09-23-a-i0036","oeuvre-1922-09-23-a-i0036") | Le rapatriement des prisonniers de guerre | 1922-09-23 | oeuvre; =HYPERLINK("https://impresso-project.ch/app/article/LLE-1922-08-25-a-i0008","LLE-1922-08-25-a-i0008") | SOCIÉTÉ DES NATIONS | 1922-08-25 | LLE; =HYPERLINK("https://impresso-project.ch/app/article/JDG-1922-09-16-a-i0010","JDG-1922-09-16-a-i0010") | Société des nations | 1922-09-16 | JDG; =HYPERLINK("https://impresso-project.ch/app/article/JDG-1922-09-20-a-i0001","JDG-1922-09-20-a-i0001") | [Sans titre] | 1922-09-20 | JDG; =HYPERLINK("https://impresso-project.ch/app/article/JDG-1922-09-25-a-i0039","JDG-1922-09-25-a-i0039") | [Sans titre] | 1922-09-25 | JDG; =HYPERLINK("https://impresso-project.ch/app/article/JDG-1922-09-23-a-i0015","JDG-1922-09-23-a-i0015") | Assemblée de la Société des nations | 1922-09-23 | JDG; =HYPERLINK("https://impresso-project.ch/app/article/lepetitparisien-1922-08-24-a-i0030","lepetitparisien-1922-08-24-a-i0030") | M. Louis de Brouckère est nommé délégué belge à la S. D. N. | 1922-08-24 | lepetitparisien; =HYPERLINK("https://impresso-project.ch/app/article/JDG-1922-09-26-a-i0084","JDG-1922-09-26-a-i0084") | g me EDITION Assemblée de la Société des nations | 1922-09-26 | JDG; =HYPERLINK("https://impresso-project.ch/app/article/JDG-1922-09-07-a-i0036","JDG-1922-09-07-a-i0036") | Dans les commissions | 1922-09-07 | JDG; =HYPERLINK("https://impresso-project.ch/app/article/tageblatt-1922-09-05-a-i0034","tageblatt-1922-09-05-a-i0034") | PETITS COUPS D'ÊPINGLE. | 1922-09-05 | tageblatt; =HYPERLINK("https://impresso-project.ch/app/article/JDG-1922-09-16-a-i0018","JDG-1922-09-16-a-i0018") | Un télégramme du Brésil. — Pour la Géorgi e | 1922-09-16 | JDG; =HYPERLINK("https://impresso-project.ch/app/article/indeplux-1922-08-24-a-i0022","indeplux-1922-08-24-a-i0022") | La S. d. N. | 1922-08-24 | indeplux; =HYPERLINK("https://impresso-project.ch/app/article/JDG-1922-09-27-a-i0042","JDG-1922-09-27-a-i0042") | L'hommage au soldat belge | 1922-09-27 | JDG; =HYPERLINK("https://impresso-project.ch/app/article/EXP-1922-09-16-a-i0114","EXP-1922-09-16-a-i0114") | POLITIQUE | 1922-09-16 | EXP; =HYPERLINK("https://impresso-project.ch/app/article/JDG-1922-09-21-a-i0090","JDG-1922-09-21-a-i0090") | Assemblée de la Société des nations | 1922-09-21 | JDG; =HYPERLINK("https://impresso-project.ch/app/article/lematin-1922-08-08-a-i0046","lematin-1922-08-08-a-i0046") | Une conférence internationale socialiste à Bruxelles | 1922-08-08 | lematin; =HYPERLINK("https://impresso-project.ch/app/article/JDG-1922-09-03-a-i0043","JDG-1922-09-03-a-i0043") | Délégués à la troisième assemblée | 1922-09-03 | JDG; =HYPERLINK("https://impresso-project.ch/app/article/lematin-1922-08-24-a-i0056","lematin-1922-08-24-a-i0056") | NOUVELLES EN TROIS LIGNES | 1922-08-24 | lematin; =HYPERLINK("https://impresso-project.ch/app/article/EXP-1922-09-04-a-i0040","EXP-1922-09-04-a-i0040") | ; ;•,;. POLITIQUE | 1922-09-04 | EXP; =HYPERLINK("https://impresso-project.ch/app/article/FZG-1922-09-21-a-i0018","FZG-1922-09-21-a-i0018") | • Neueste Meldunge« » | 1922-09-21 | FZG</f>
        <v>0</v>
      </c>
      <c r="I33" t="s">
        <v>256</v>
      </c>
      <c r="J33" t="s">
        <v>260</v>
      </c>
      <c r="K33" t="s">
        <v>262</v>
      </c>
    </row>
    <row r="34" spans="1:11">
      <c r="A34" t="s">
        <v>43</v>
      </c>
      <c r="B34" t="s">
        <v>58</v>
      </c>
      <c r="C34" t="s">
        <v>115</v>
      </c>
      <c r="D34" t="s">
        <v>155</v>
      </c>
      <c r="F34" t="s">
        <v>225</v>
      </c>
      <c r="G34" t="s">
        <v>233</v>
      </c>
      <c r="H34" s="2">
        <f>HYPERLINK("https://impresso-project.ch/app/article/lematin-1922-08-30-a-i0036","lematin-1922-08-30-a-i0036") | La Bulgarie envoie une mission secrète à Moscou | 1922-08-30 | lematin; =HYPERLINK("https://impresso-project.ch/app/article/GDL-1922-08-31-a-i0024","GDL-1922-08-31-a-i0024") | S^a VH &amp; | 1922-08-31 | GDL; =HYPERLINK("https://impresso-project.ch/app/article/lematin-1922-08-31-a-i0068","lematin-1922-08-31-a-i0068") | M. Todoroff n'ira pas à Moscou | 1922-08-31 | lematin</f>
        <v>0</v>
      </c>
      <c r="I34" t="s">
        <v>257</v>
      </c>
      <c r="J34" t="s">
        <v>260</v>
      </c>
      <c r="K34" t="s">
        <v>262</v>
      </c>
    </row>
    <row r="35" spans="1:11">
      <c r="A35" t="s">
        <v>44</v>
      </c>
      <c r="B35" t="s">
        <v>79</v>
      </c>
      <c r="C35" t="s">
        <v>116</v>
      </c>
      <c r="D35" t="s">
        <v>156</v>
      </c>
      <c r="E35" t="s">
        <v>189</v>
      </c>
      <c r="F35" t="s">
        <v>226</v>
      </c>
      <c r="G35" t="s">
        <v>242</v>
      </c>
      <c r="H35" s="2"/>
      <c r="I35" t="s">
        <v>250</v>
      </c>
      <c r="J35" t="s">
        <v>260</v>
      </c>
      <c r="K35" t="s">
        <v>263</v>
      </c>
    </row>
    <row r="36" spans="1:11">
      <c r="A36" t="s">
        <v>45</v>
      </c>
      <c r="B36" t="s">
        <v>58</v>
      </c>
      <c r="C36" t="s">
        <v>117</v>
      </c>
      <c r="D36" t="s">
        <v>157</v>
      </c>
      <c r="E36" t="s">
        <v>190</v>
      </c>
      <c r="F36" t="s">
        <v>227</v>
      </c>
      <c r="H36" s="2"/>
      <c r="I36" t="s">
        <v>252</v>
      </c>
      <c r="K36" t="s">
        <v>263</v>
      </c>
    </row>
    <row r="37" spans="1:11">
      <c r="A37" t="s">
        <v>46</v>
      </c>
      <c r="B37" t="s">
        <v>58</v>
      </c>
      <c r="C37" t="s">
        <v>118</v>
      </c>
      <c r="D37" t="s">
        <v>158</v>
      </c>
      <c r="E37" t="s">
        <v>191</v>
      </c>
      <c r="F37" t="s">
        <v>228</v>
      </c>
      <c r="G37" t="s">
        <v>243</v>
      </c>
      <c r="H37" s="2"/>
      <c r="I37" t="s">
        <v>58</v>
      </c>
      <c r="J37" t="s">
        <v>260</v>
      </c>
      <c r="K37" t="s">
        <v>262</v>
      </c>
    </row>
    <row r="38" spans="1:11">
      <c r="A38" t="s">
        <v>47</v>
      </c>
      <c r="B38" t="s">
        <v>80</v>
      </c>
      <c r="C38" t="s">
        <v>119</v>
      </c>
      <c r="D38" t="s">
        <v>159</v>
      </c>
      <c r="F38" t="s">
        <v>229</v>
      </c>
      <c r="G38" t="s">
        <v>233</v>
      </c>
      <c r="H38" s="2"/>
      <c r="I38" t="s">
        <v>258</v>
      </c>
      <c r="J38" t="s">
        <v>261</v>
      </c>
      <c r="K38" t="s">
        <v>262</v>
      </c>
    </row>
    <row r="39" spans="1:11">
      <c r="A39" t="s">
        <v>48</v>
      </c>
      <c r="B39" t="s">
        <v>81</v>
      </c>
      <c r="C39" t="s">
        <v>120</v>
      </c>
      <c r="D39" t="s">
        <v>160</v>
      </c>
      <c r="E39" t="s">
        <v>192</v>
      </c>
      <c r="F39" t="s">
        <v>230</v>
      </c>
      <c r="H39" s="2"/>
      <c r="I39" t="s">
        <v>249</v>
      </c>
      <c r="J39" t="s">
        <v>260</v>
      </c>
      <c r="K39" t="s">
        <v>263</v>
      </c>
    </row>
    <row r="40" spans="1:11">
      <c r="A40" t="s">
        <v>49</v>
      </c>
      <c r="B40" t="s">
        <v>80</v>
      </c>
      <c r="C40" t="s">
        <v>121</v>
      </c>
      <c r="D40" t="s">
        <v>161</v>
      </c>
      <c r="F40" t="s">
        <v>231</v>
      </c>
      <c r="G40" t="s">
        <v>233</v>
      </c>
      <c r="H40" s="2">
        <f>HYPERLINK("https://impresso-project.ch/app/article/legaulois-1922-09-28-a-i0009","legaulois-1922-09-28-a-i0009") | DANS LE MONDE OFFICIEL | 1922-09-28 | legaulois</f>
        <v>0</v>
      </c>
      <c r="I40" t="s">
        <v>259</v>
      </c>
      <c r="J40" t="s">
        <v>260</v>
      </c>
      <c r="K40" t="s">
        <v>262</v>
      </c>
    </row>
    <row r="41" spans="1:11">
      <c r="A41" t="s">
        <v>50</v>
      </c>
      <c r="B41" t="s">
        <v>82</v>
      </c>
      <c r="C41" t="s">
        <v>122</v>
      </c>
      <c r="D41" t="s">
        <v>162</v>
      </c>
      <c r="E41" t="s">
        <v>193</v>
      </c>
      <c r="F41" t="s">
        <v>232</v>
      </c>
      <c r="H41" s="2"/>
      <c r="I41" t="s">
        <v>244</v>
      </c>
      <c r="J41" t="s">
        <v>260</v>
      </c>
      <c r="K41" t="s">
        <v>263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Personnes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2025-11-20T19:27:35Z</dcterms:created>
  <dcterms:modified xsi:type="dcterms:W3CDTF">2025-11-20T19:27:35Z</dcterms:modified>
</cp:coreProperties>
</file>